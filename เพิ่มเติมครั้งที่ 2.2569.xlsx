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แผนพัฒนาท้องถิ่น 66-70 สันกลาง\เพิ่มเติมครั้งที่ 2.2569@\รวมโครงการ\"/>
    </mc:Choice>
  </mc:AlternateContent>
  <xr:revisionPtr revIDLastSave="0" documentId="13_ncr:1_{3AFDA12D-CE1A-4E92-AC83-CF8FF53BD565}" xr6:coauthVersionLast="47" xr6:coauthVersionMax="47" xr10:uidLastSave="{00000000-0000-0000-0000-000000000000}"/>
  <bookViews>
    <workbookView xWindow="-120" yWindow="-120" windowWidth="29040" windowHeight="15720" xr2:uid="{A174BD91-895D-4F77-A4CC-D4834C10CDD9}"/>
  </bookViews>
  <sheets>
    <sheet name="ผ.01" sheetId="13" r:id="rId1"/>
    <sheet name="คก.รวม" sheetId="14" r:id="rId2"/>
    <sheet name="ม.1" sheetId="1" r:id="rId3"/>
    <sheet name="ม.2" sheetId="2" r:id="rId4"/>
    <sheet name="ม.4" sheetId="4" r:id="rId5"/>
    <sheet name="ม.5" sheetId="6" r:id="rId6"/>
    <sheet name="ม.6" sheetId="7" r:id="rId7"/>
    <sheet name="ทต." sheetId="10" r:id="rId8"/>
  </sheets>
  <definedNames>
    <definedName name="_xlnm.Print_Titles" localSheetId="0">ผ.01!$5:$7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3" l="1"/>
  <c r="H21" i="13"/>
  <c r="C21" i="13"/>
  <c r="D21" i="13"/>
  <c r="E21" i="13"/>
  <c r="F21" i="13"/>
  <c r="C15" i="13"/>
  <c r="D15" i="13"/>
  <c r="E15" i="13"/>
  <c r="F15" i="13"/>
  <c r="C12" i="13"/>
  <c r="D12" i="13"/>
  <c r="E12" i="13"/>
  <c r="F12" i="13"/>
  <c r="J21" i="13"/>
  <c r="K21" i="13"/>
  <c r="L21" i="13"/>
  <c r="M21" i="13"/>
  <c r="N21" i="13"/>
  <c r="I20" i="13"/>
  <c r="J20" i="13"/>
  <c r="K20" i="13"/>
  <c r="L20" i="13"/>
  <c r="M20" i="13"/>
  <c r="N20" i="13"/>
  <c r="G21" i="13"/>
  <c r="G15" i="13"/>
  <c r="H15" i="13"/>
  <c r="I15" i="13"/>
  <c r="J15" i="13"/>
  <c r="K15" i="13"/>
  <c r="L15" i="13"/>
  <c r="M19" i="13"/>
  <c r="N19" i="13"/>
  <c r="F39" i="6" l="1"/>
  <c r="G39" i="6"/>
  <c r="H39" i="6"/>
  <c r="I39" i="6"/>
  <c r="E39" i="6"/>
  <c r="F23" i="14"/>
  <c r="G23" i="14"/>
  <c r="H23" i="14"/>
  <c r="I23" i="14"/>
  <c r="E23" i="14"/>
  <c r="F58" i="2"/>
  <c r="G58" i="2"/>
  <c r="H58" i="2"/>
  <c r="I58" i="2"/>
  <c r="E58" i="2"/>
  <c r="I45" i="10"/>
  <c r="H45" i="10"/>
  <c r="G45" i="10"/>
  <c r="F45" i="10"/>
  <c r="E45" i="10"/>
  <c r="F22" i="10"/>
  <c r="G22" i="10"/>
  <c r="H22" i="10"/>
  <c r="I22" i="10"/>
  <c r="E22" i="10"/>
  <c r="H77" i="7"/>
  <c r="F45" i="7" l="1"/>
  <c r="G45" i="7"/>
  <c r="H45" i="7"/>
  <c r="I45" i="7"/>
  <c r="E45" i="7"/>
  <c r="H77" i="6"/>
  <c r="I77" i="6"/>
  <c r="G77" i="6"/>
  <c r="F77" i="6"/>
  <c r="E77" i="6"/>
  <c r="F46" i="4"/>
  <c r="G46" i="4"/>
  <c r="H46" i="4"/>
  <c r="I46" i="4"/>
  <c r="E46" i="4"/>
  <c r="F79" i="4"/>
  <c r="G79" i="4"/>
  <c r="H79" i="4"/>
  <c r="I79" i="4"/>
  <c r="E79" i="4"/>
  <c r="F43" i="1"/>
  <c r="G43" i="1"/>
  <c r="H43" i="1"/>
  <c r="I43" i="1"/>
  <c r="E43" i="1"/>
  <c r="N14" i="13"/>
  <c r="N15" i="13" s="1"/>
  <c r="M14" i="13"/>
  <c r="M15" i="13" s="1"/>
  <c r="G12" i="13"/>
  <c r="L12" i="13" l="1"/>
  <c r="K12" i="13"/>
  <c r="J12" i="13"/>
  <c r="I12" i="13"/>
  <c r="H12" i="13"/>
  <c r="N10" i="13"/>
  <c r="M10" i="13"/>
  <c r="N9" i="13"/>
  <c r="M9" i="13"/>
  <c r="N12" i="13" l="1"/>
  <c r="M12" i="13"/>
</calcChain>
</file>

<file path=xl/sharedStrings.xml><?xml version="1.0" encoding="utf-8"?>
<sst xmlns="http://schemas.openxmlformats.org/spreadsheetml/2006/main" count="1109" uniqueCount="312">
  <si>
    <t>รายละเอียดโครงการพัฒนา</t>
  </si>
  <si>
    <r>
      <t>ก. ยุทธศาสตร์ชาติ 20 ปี  :</t>
    </r>
    <r>
      <rPr>
        <sz val="14"/>
        <rFont val="Angsana New"/>
        <family val="1"/>
      </rPr>
      <t xml:space="preserve"> ยุทธศาสตร์ที่ 2 ด้านการสร้างความสามารถในการแข่งขัน</t>
    </r>
  </si>
  <si>
    <t xml:space="preserve">ข.แผนพัฒนาเศรษฐกิจและสังคมแห่งชาติฉบับที่ 13 : </t>
  </si>
  <si>
    <t>หมุดหมายที่ 5  ไทยเป็นประตูการค้าการลงทุนและยุทธศาสตร์ทางโลจิสติกส์ที่ สำคัญของภูมิภาค</t>
  </si>
  <si>
    <t>หมุดหมายที่ 8 ไทยมีพื้นที่และเมืองอัจฉริยะที่น่าอยู่ ปลอดภัย เติบโตได้อย่างยั่งยืน</t>
  </si>
  <si>
    <r>
      <t xml:space="preserve">ค.Sustainable Development Goals : SDGs เป้าหมายหลักที่ 11 : </t>
    </r>
    <r>
      <rPr>
        <sz val="14"/>
        <rFont val="Angsana New"/>
        <family val="1"/>
      </rPr>
      <t>ทำให้เมืองและการตั้งถิ่นฐานของมนุษย์มีความครอบคลุม ปลอดภัย มีภูมิต้านทาน และยั่งยืน</t>
    </r>
  </si>
  <si>
    <r>
      <t>ง.ยุทธศาสตร์จังหวัดเชียงใหม่ :</t>
    </r>
    <r>
      <rPr>
        <sz val="14"/>
        <rFont val="Angsana New"/>
        <family val="1"/>
      </rPr>
      <t xml:space="preserve"> ประเด็นการพัฒนาที่ 1 การส่งเสริมอุตสาหกรรมท่องเที่ยวเน้นคุณค่า สร้างสรรค์บนอัตลักษณ์ล้านนา และอุตสาหกรรมไมซ์</t>
    </r>
  </si>
  <si>
    <r>
      <t>จ.ยุทธศาสตร์การพัฒนาขององค์กรปกครองส่วนท้องถิ่นในจังหวัดเชียงใหม่ :</t>
    </r>
    <r>
      <rPr>
        <sz val="14"/>
        <rFont val="Angsana New"/>
        <family val="1"/>
      </rPr>
      <t xml:space="preserve"> ยุทธศาสตร์ที่ 1  การพัฒนาโครงสร้างพื้นฐานเพื่อรองรับการพัฒนาเศรษฐกิจและสังคม</t>
    </r>
  </si>
  <si>
    <t>แผนงานอุตสาหกรรมและการโยธา</t>
  </si>
  <si>
    <t>ที่</t>
  </si>
  <si>
    <t>โครงการ</t>
  </si>
  <si>
    <t>วัตถุประสงค์</t>
  </si>
  <si>
    <t>งบประมาณ</t>
  </si>
  <si>
    <t>ตัวชี้วัด (KPI)</t>
  </si>
  <si>
    <t>ผลที่คาดว่าจะได้รับ</t>
  </si>
  <si>
    <t>หน่วยงานรับผิดชอบหลัก</t>
  </si>
  <si>
    <t>(บาท)</t>
  </si>
  <si>
    <t>ร้อยละของ</t>
  </si>
  <si>
    <t>ประชาชน</t>
  </si>
  <si>
    <t>เทศบาลตำบลสันกลาง</t>
  </si>
  <si>
    <r>
      <t>ยุทธศาสตร์การพัฒนาเทศบาลตำบลสันกลาง :</t>
    </r>
    <r>
      <rPr>
        <sz val="14"/>
        <rFont val="Angsana New"/>
        <family val="1"/>
      </rPr>
      <t xml:space="preserve"> ยุทธศาสตร์ที่ 1 ด้านโครงสร้างพื้นฐาน  </t>
    </r>
  </si>
  <si>
    <t>แผนงานเคหะและชุมชน</t>
  </si>
  <si>
    <t xml:space="preserve">เป้าหมาย </t>
  </si>
  <si>
    <t>ผลผลิตของ</t>
  </si>
  <si>
    <t>รวมทั้งหมด 2 โครงการ</t>
  </si>
  <si>
    <t>หมู่ที่ 4 บ้านสันกลางเหนือ</t>
  </si>
  <si>
    <t>หมู่ที่ 6 บ้านสันกลางใต้</t>
  </si>
  <si>
    <r>
      <t xml:space="preserve">กลยุทธ์ : </t>
    </r>
    <r>
      <rPr>
        <sz val="14"/>
        <rFont val="Angsana New"/>
        <family val="1"/>
      </rPr>
      <t>การพัฒนาและบำรุงรักษาถนน ทางเท้า ทางระบายน้ำ</t>
    </r>
  </si>
  <si>
    <r>
      <t>กลยุทธ์ :</t>
    </r>
    <r>
      <rPr>
        <sz val="14"/>
        <rFont val="Angsana New"/>
        <family val="1"/>
      </rPr>
      <t xml:space="preserve"> การพัฒนาและบำรุงรักษาเพื่อการอุปโภค บริโภค การเกษตร และการป้องกันน้ำท่วม</t>
    </r>
  </si>
  <si>
    <r>
      <t>กลยุทธ์ :</t>
    </r>
    <r>
      <rPr>
        <sz val="14"/>
        <rFont val="Angsana New"/>
        <family val="1"/>
      </rPr>
      <t xml:space="preserve"> การพัฒนาและบำรุงรักษาโครงสร้างพื้นฐานอื่นๆ</t>
    </r>
  </si>
  <si>
    <t>พึงพอใจ</t>
  </si>
  <si>
    <t>รวมทั้งหมด 5 โครงการ</t>
  </si>
  <si>
    <r>
      <t>กลยุทธ์ :</t>
    </r>
    <r>
      <rPr>
        <sz val="14"/>
        <rFont val="Angsana New"/>
        <family val="1"/>
      </rPr>
      <t xml:space="preserve"> การพัฒนาและบำรุงรักษาโครงสร้างพื้นฐาน</t>
    </r>
  </si>
  <si>
    <t>สันกลาง</t>
  </si>
  <si>
    <t>บัญชีสรุปโครงการพัฒนา</t>
  </si>
  <si>
    <t>เทศบาลตำบลสันกลาง  อำเภอสันกำแพง  จังหวัดเชียงใหม่</t>
  </si>
  <si>
    <t>ปี 2566</t>
  </si>
  <si>
    <t>ปี 2567</t>
  </si>
  <si>
    <t>ปี 2568</t>
  </si>
  <si>
    <t>ปี 2569</t>
  </si>
  <si>
    <t>ปี 2570</t>
  </si>
  <si>
    <t>รวม  5  ปี</t>
  </si>
  <si>
    <t>ยุทธศาสตร์</t>
  </si>
  <si>
    <t>จำนวน</t>
  </si>
  <si>
    <t>1. ยุทธศาสตร์การพัฒนาด้านโครงสร้างพื้นฐาน</t>
  </si>
  <si>
    <t xml:space="preserve"> </t>
  </si>
  <si>
    <t>1.1 แผนงานเคหะและชุมชน</t>
  </si>
  <si>
    <t>1.2 แผนงานอุตสาหกรรมและการโยธา</t>
  </si>
  <si>
    <t>รวม</t>
  </si>
  <si>
    <t>2. ยุทธศาสตร์การพัฒนาด้านคุณภาพชีวิต</t>
  </si>
  <si>
    <t>ตามแนวทางเทศรษฐกิจพอเพียงและการ</t>
  </si>
  <si>
    <t>ท่องเที่ยว</t>
  </si>
  <si>
    <t>รวมทั้งสิ้น</t>
  </si>
  <si>
    <r>
      <t>ก. ยุทธศาสตร์ชาติ 20 ปี  :</t>
    </r>
    <r>
      <rPr>
        <sz val="14"/>
        <rFont val="Angsana New"/>
        <family val="1"/>
      </rPr>
      <t xml:space="preserve"> ยุทธศาสตร์ที่ 3 ด้านการพัฒนาและเสริมสร้างศักยภาพทรัพยากรมนุษย์  </t>
    </r>
  </si>
  <si>
    <r>
      <t>ง.ยุทธศาสตร์จังหวัดเชียงใหม่ :</t>
    </r>
    <r>
      <rPr>
        <sz val="14"/>
        <rFont val="Angsana New"/>
        <family val="1"/>
      </rPr>
      <t xml:space="preserve"> ประเด็นการพัฒนาที่ 5 การเสริมสร้างสังคมคุณภาพ เมืองน่าอยู่มีความปลอดภัย เพื่อคุณภาพชีวิตที่ดี ของประชาชน</t>
    </r>
  </si>
  <si>
    <t>สำนักปลัด</t>
  </si>
  <si>
    <t>ตำบลสันกลาง</t>
  </si>
  <si>
    <r>
      <t xml:space="preserve">ค.Sustainable Development Goals : SDGs เป้าหมายหลักที่ 2 : </t>
    </r>
    <r>
      <rPr>
        <sz val="14"/>
        <rFont val="Angsana New"/>
        <family val="1"/>
      </rPr>
      <t>ยุติความหิวโหย บรรลุความมั่นคงทางอาหารและยกระดับโภชนาการ และส่งเสริมเกษตรกรรมที่ยั่งยืน 3. สร้างหลักประกันเรื่องสุขภาพ และส่งเสริมสวัสดิภาพสำหรับทุกคนในทุกวัย</t>
    </r>
  </si>
  <si>
    <t>เพื่อระบายน้ำและ</t>
  </si>
  <si>
    <t>กว้าง 0.30 เมตร</t>
  </si>
  <si>
    <t>ปัญหาน้ำท่วมได้รับ</t>
  </si>
  <si>
    <t>กองช่าง</t>
  </si>
  <si>
    <t>แก้ไขปัญหาน้ำท่วม</t>
  </si>
  <si>
    <t>หมู่บ้านได้รับ</t>
  </si>
  <si>
    <t>การแก้ไข</t>
  </si>
  <si>
    <t>ภายในหมู่บ้าน</t>
  </si>
  <si>
    <t>การแก้ไขจาก</t>
  </si>
  <si>
    <t>ปัญหาน้ำท่วม</t>
  </si>
  <si>
    <t>สถานที่ดำเนินงาน ซอย 9 หมู่ที่ 1</t>
  </si>
  <si>
    <t>เพื่อป้องกันพนังดิน</t>
  </si>
  <si>
    <t>พังทลาย</t>
  </si>
  <si>
    <t>การก่อสร้าง</t>
  </si>
  <si>
    <t>สามารถป้องกันการ</t>
  </si>
  <si>
    <t>พังทลายของพนังลำ</t>
  </si>
  <si>
    <t>เหมือง</t>
  </si>
  <si>
    <t>เพื่อให้ประชาชน</t>
  </si>
  <si>
    <t>ภายในหมู่บ้านสัญจร</t>
  </si>
  <si>
    <t>ไปมาสะดวก</t>
  </si>
  <si>
    <t>ประชาชนภายใน</t>
  </si>
  <si>
    <t>หมู่บ้านสัญจรไปมา</t>
  </si>
  <si>
    <t>สะดวก</t>
  </si>
  <si>
    <t>ประชาชนภายในหมู่</t>
  </si>
  <si>
    <t>บ้านสัญจรไปมา</t>
  </si>
  <si>
    <t>สัญจรไปมา</t>
  </si>
  <si>
    <t>สะดวกขึ้น</t>
  </si>
  <si>
    <t>หมู่ที่ 4</t>
  </si>
  <si>
    <t>ยาว 33.00 เมตร</t>
  </si>
  <si>
    <t>กว้าง 0.30  เมตร</t>
  </si>
  <si>
    <t>ยาว  100.00 เมตร</t>
  </si>
  <si>
    <t>โครงการก่อสร้างรางระบายน้ำคอนกรีตเสริม</t>
  </si>
  <si>
    <t>รวมทั้งหมด 1 โครงการ</t>
  </si>
  <si>
    <t>รวมทั้งหมด 8 โครงการ</t>
  </si>
  <si>
    <t xml:space="preserve">โครงการก่อสร้างถนนคอนกรีตเสริมเหล็ก </t>
  </si>
  <si>
    <t>กว้าง 4.00 เมตร</t>
  </si>
  <si>
    <t xml:space="preserve">หมู่ที่ 6  </t>
  </si>
  <si>
    <t>กว้าง 3.00 เมตร</t>
  </si>
  <si>
    <t>กว้าง 6.00 เมตร</t>
  </si>
  <si>
    <t>โครงการขยายเขตประปาส่วนภูมิภาค</t>
  </si>
  <si>
    <t>ขยายเขตประปา</t>
  </si>
  <si>
    <t>ประชาชนมีน้ำใช้</t>
  </si>
  <si>
    <t>มีน้ำในการอุปโภค</t>
  </si>
  <si>
    <t>อุปโภค-บริโภค</t>
  </si>
  <si>
    <t>บริโภค</t>
  </si>
  <si>
    <t>มีน้ำใช้อุปโภค</t>
  </si>
  <si>
    <t>ที่ดีขึ้น</t>
  </si>
  <si>
    <t xml:space="preserve">โครงการขยายเขตไฟฟ้าสาธารณะ </t>
  </si>
  <si>
    <t>ขยายเขตไฟฟ้า</t>
  </si>
  <si>
    <t>ประชานได้รับความ</t>
  </si>
  <si>
    <t>มีไฟฟ้าแสงสว่างใช้</t>
  </si>
  <si>
    <t>สาธารณะ</t>
  </si>
  <si>
    <t>มีไฟฟ้าแสง</t>
  </si>
  <si>
    <t>สว่างใช้</t>
  </si>
  <si>
    <t>ส่วนภูมิภาค หมู่ที่ 6</t>
  </si>
  <si>
    <t>หมู่ที่ 6</t>
  </si>
  <si>
    <t>หนา 0.15 เมตร</t>
  </si>
  <si>
    <t>หมู่ที่ 2 บ้านมอญ</t>
  </si>
  <si>
    <t>หมู่ที่ 1 บ้านมอญ</t>
  </si>
  <si>
    <t>เทศบาลตำบล</t>
  </si>
  <si>
    <t>กว้าง 2.00 เมตร</t>
  </si>
  <si>
    <t>แผนงานการเกษตร</t>
  </si>
  <si>
    <t>เหล็ก สถานที่ดำเนินงาน ซอย 6 หมู่ที่ 1</t>
  </si>
  <si>
    <t>ยาว 152.00 เมตร</t>
  </si>
  <si>
    <t xml:space="preserve">โครงการปรับปรุงผิวจราจรด้วยแอสฟัลท์คอนกรีต </t>
  </si>
  <si>
    <t xml:space="preserve">สถานที่ดำเนินงาน ซอย 6 (หลังโรงเรียนบ้านมอญ) </t>
  </si>
  <si>
    <t>หมู่ที่ 1</t>
  </si>
  <si>
    <t>กว้าง 3.50-4.00  เมตร</t>
  </si>
  <si>
    <t>ยาว 75.00 เมตร</t>
  </si>
  <si>
    <t>สถานที่ดำเนินงาน หน้าบ้านเลขที่ 69  หมู่ที่ 1</t>
  </si>
  <si>
    <t>กว้าง 4.00  เมตร</t>
  </si>
  <si>
    <t>โครงการปรับปรุงผิวจราจรด้วยแอสฟัลท์คอนกรีต</t>
  </si>
  <si>
    <t>สถานที่ดำเนินงาน ซอยหน้าวัดบ้านมอญ หมู่ที่ 1</t>
  </si>
  <si>
    <t>ยาว 418.00 เมตร</t>
  </si>
  <si>
    <t>กว้าง 3.50-15.00 เมตร</t>
  </si>
  <si>
    <t>กว้าง 2.50 เมตร</t>
  </si>
  <si>
    <t>ยาว 123.00 เมตร</t>
  </si>
  <si>
    <t xml:space="preserve">สถานที่ดำเนินงาน ซอย 16 (หน้าโครงการพฤกษา)  </t>
  </si>
  <si>
    <t>หมู่ที่ 2</t>
  </si>
  <si>
    <t>กว้าง 7.50-9.00  เมตร</t>
  </si>
  <si>
    <t>ยาว 122.00 เมตร</t>
  </si>
  <si>
    <t xml:space="preserve">โครงการก่อสร้างท่อลอดเหลี่ยมคอนกรีตเสริมเหล็ก </t>
  </si>
  <si>
    <t>กว้าง 2.40  เมตร</t>
  </si>
  <si>
    <t>ยาว 8.50 เมตร</t>
  </si>
  <si>
    <t xml:space="preserve">โครงการก่อสร้างรางระบายน้ำคอนกรีตเสริมเหล็ก </t>
  </si>
  <si>
    <t xml:space="preserve">สถานที่ดำเนินงาน ซอย 8 หมู่ที่ 2 </t>
  </si>
  <si>
    <t>ยาว 685.00 เมตร</t>
  </si>
  <si>
    <t xml:space="preserve">สถานที่ดำเนินงาน ถนนสายหลัก หมู่ที่ 2 </t>
  </si>
  <si>
    <t>ยาว 1,800.00 เมตร</t>
  </si>
  <si>
    <t xml:space="preserve">โครงการขยายไหล่ถนนคอนกรีตเสริมเหล็ก </t>
  </si>
  <si>
    <t>สถานที่ดำเนินงาน ซอย 12 หมู่ที่ 2</t>
  </si>
  <si>
    <t>กว้าง 2.00 เมตร/ข้าง</t>
  </si>
  <si>
    <t>โครงการก่อสร้างและขยายไหล่ถนนคอนกรีตเสริม</t>
  </si>
  <si>
    <t>เหล็ก สถานที่ดำเนินงาน ซอย 10 หมู่ที่ 2</t>
  </si>
  <si>
    <t>กว้าง 1.50, 2.50  เมตร</t>
  </si>
  <si>
    <t>ยาว 104.00 เมตร</t>
  </si>
  <si>
    <t xml:space="preserve">สถานที่ดำเนินงาน ซอย 10 หมู่ที่ 2  </t>
  </si>
  <si>
    <t>ยาว 115.00 เมตร</t>
  </si>
  <si>
    <t>สถานที่ดำเนินงาน ซอย 16 (หน้าโครงการพฤกษา)</t>
  </si>
  <si>
    <t xml:space="preserve"> หมู่ที่ 2</t>
  </si>
  <si>
    <t>ขนาดเส้นผ่าน</t>
  </si>
  <si>
    <t>ศูนย์กลาง 0.80 เมตร</t>
  </si>
  <si>
    <t xml:space="preserve">ความยาว 87.00 เมตร </t>
  </si>
  <si>
    <t>โครงการก่อสร้างท่อลอดเหลี่ยมคอนกรีตเสริม</t>
  </si>
  <si>
    <t xml:space="preserve">เหล็ก สถานที่ดำเนินงาน เขตติดต่อ ม.3-ซอย 2  </t>
  </si>
  <si>
    <t xml:space="preserve">หมู่ที่ 4 </t>
  </si>
  <si>
    <t>ยาว  200.00 เมตร</t>
  </si>
  <si>
    <t xml:space="preserve">เหล็ก สถานที่ดำเนินงาน หน้าบ้านเลขที่ 54/2 </t>
  </si>
  <si>
    <t>กว้าง 1.50-2.00 เมตร</t>
  </si>
  <si>
    <t>ยาว  180.00 เมตร</t>
  </si>
  <si>
    <t>เหล็ก สถานที่ดำเนินงาน ลำเหมืองหลัง</t>
  </si>
  <si>
    <t>บ้านเลขที่ 109 หมู่ที่ 4</t>
  </si>
  <si>
    <t>กว้าง 1.00  เมตร</t>
  </si>
  <si>
    <t>ยาว  75.00 เมตร</t>
  </si>
  <si>
    <t>หมู่บ้านสมหวัง หมู่ที่ 4</t>
  </si>
  <si>
    <t>ยาว 500.00 เมตร</t>
  </si>
  <si>
    <t>สถานที่ดำเนินงาน หน้าบ้านเลขที่  79/5 หมู่ที่ 4</t>
  </si>
  <si>
    <t>กว้าง 3.50 เมตร</t>
  </si>
  <si>
    <t>ยาว 38.00 เมตร</t>
  </si>
  <si>
    <t>สถานที่ดำเนินงาน ซอย 2/2 (หมู่บ้าน ส.การค้า)</t>
  </si>
  <si>
    <t>ความยาว 35.00 เมตร</t>
  </si>
  <si>
    <t>สามารถป้องกัน</t>
  </si>
  <si>
    <t>การพังทลายของ</t>
  </si>
  <si>
    <t>พนังลำเหมือง</t>
  </si>
  <si>
    <t>รวมทั้งหมด 6 โครงการ</t>
  </si>
  <si>
    <t>สถานที่ดำเนินงาน ซอยตรงข้ามที่ทำการผู้ใหญ่</t>
  </si>
  <si>
    <t xml:space="preserve">บ้าน หมู่ที่ 5  </t>
  </si>
  <si>
    <t>กว้าง 1.50 เมตร</t>
  </si>
  <si>
    <t>ยาว 42.00 เมตร</t>
  </si>
  <si>
    <t>สถานที่ดำเนินงาน หน้าบ้านเลขที่ 22 และ</t>
  </si>
  <si>
    <t xml:space="preserve">บ้านเลขที่ 66/2 หมู่ที่ 5  </t>
  </si>
  <si>
    <t>กว้าง 1.00-5.00 เมตร</t>
  </si>
  <si>
    <t>ยาว 103.00 เมตร</t>
  </si>
  <si>
    <t>โครงการขยายท่อประปาหมู่บ้าน</t>
  </si>
  <si>
    <t>หมู่ที่ 5</t>
  </si>
  <si>
    <t xml:space="preserve">สถานที่ดำเนินงาน ตั้งแต่หน้าบ้านเลขที่ 22 - ซอย 1 </t>
  </si>
  <si>
    <t>ส่วนภูมิภาค หมู่ที่ 4</t>
  </si>
  <si>
    <t xml:space="preserve">ท่อขนาด ศก.4 นิ้ว </t>
  </si>
  <si>
    <t xml:space="preserve">ความยาว 340.00 เมตร </t>
  </si>
  <si>
    <t xml:space="preserve">โครงการเจาะบาดาล สถานที่ดำเนินงาน </t>
  </si>
  <si>
    <t>วัดสันกลางใต้ หมู่ที่ 5</t>
  </si>
  <si>
    <t>ความลึกประมาณ</t>
  </si>
  <si>
    <t xml:space="preserve"> 100 เมตร</t>
  </si>
  <si>
    <t xml:space="preserve">สถานที่ดำเนินงาน ซอยตรงข้ามบ้านเลขที่ 17/4 </t>
  </si>
  <si>
    <t>กว้าง 2.50เมตร</t>
  </si>
  <si>
    <t>ยาว 35.00 เมตร</t>
  </si>
  <si>
    <t>ยาว 150.00 เมตร</t>
  </si>
  <si>
    <t>ยาว 49.00 เมตร</t>
  </si>
  <si>
    <t>สูง 4.00 เมตร</t>
  </si>
  <si>
    <t>ยาว 26.00 เมตร</t>
  </si>
  <si>
    <t>และ 32.00 เมตร</t>
  </si>
  <si>
    <t xml:space="preserve">เหล็ก สถานที่ดำเนินงาน ตั้งแต่บ้านเลขที่ 33/2 – </t>
  </si>
  <si>
    <t>บ้านเลขที่ 35/1 หมู่ที่ 6</t>
  </si>
  <si>
    <t>ยาว  78.00 เมตร</t>
  </si>
  <si>
    <t>สถานที่ดำเนินงาน ตั้งแต่บ้านเลขที่ 28/1 - บ้าน</t>
  </si>
  <si>
    <t xml:space="preserve">เลขที่ 23/7 หมู่ที่ 6 </t>
  </si>
  <si>
    <t>สถานที่ดำเนินงาน ซอยข้างบ้านเลขที่ 2 หมู่ที่ 6</t>
  </si>
  <si>
    <t>หมุดหมายที่ 4 ไทยเป็นศูนย์กลางทางการแพทย์และสุขภาพมูลค่าสูง</t>
  </si>
  <si>
    <t>หมุดหมายที่ 8 ไทยมีเศรษฐกิจหมุนเวียนและสังคมคาร์บอนต่ำ</t>
  </si>
  <si>
    <r>
      <t>จ.ยุทธศาสตร์การพัฒนาขององค์กรปกครองส่วนท้องถิ่นในจังหวัดเชียงใหม่ :</t>
    </r>
    <r>
      <rPr>
        <sz val="14"/>
        <rFont val="Angsana New"/>
        <family val="1"/>
      </rPr>
      <t xml:space="preserve"> ยุทธศาสตร์ที่ 5 การพัฒนาคุณภาพชีวิตของประชาชน	</t>
    </r>
  </si>
  <si>
    <r>
      <t>ยุทธศาสตร์การพัฒนาเทศบาลตำบลสันกลาง :</t>
    </r>
    <r>
      <rPr>
        <sz val="14"/>
        <rFont val="Angsana New"/>
        <family val="1"/>
      </rPr>
      <t xml:space="preserve"> ยุทธศาสตร์ที่ 2  ด้านคุณภาพชีวิตของประชาชน</t>
    </r>
  </si>
  <si>
    <r>
      <t xml:space="preserve">กลยุทธ์ : </t>
    </r>
    <r>
      <rPr>
        <sz val="14"/>
        <rFont val="Angsana New"/>
        <family val="1"/>
      </rPr>
      <t>ส่งเสริมสนับสนุนสวัสดิการสังคม</t>
    </r>
  </si>
  <si>
    <t>แผนงานสังคมสงเคราะห์</t>
  </si>
  <si>
    <r>
      <t>ก. ยุทธศาสตร์ชาติ 20 ปี  :</t>
    </r>
    <r>
      <rPr>
        <sz val="14"/>
        <rFont val="Angsana New"/>
        <family val="1"/>
      </rPr>
      <t xml:space="preserve"> ยุทธศาสตร์ที่ 5 ด้านการสร้างการเติบโตบนคุณภาพชีวิตที่เป็นมิตรกับสิ่งแวดล้อม</t>
    </r>
  </si>
  <si>
    <t>หมุดหมายที่ 10  ไทยมีเศรษฐกิจหมุนเวียนและสังคมคาร์บอนต่ำ</t>
  </si>
  <si>
    <r>
      <t xml:space="preserve">ค.Sustainable Development Goals : SDGs เป้าหมายหลักที่ 3 : </t>
    </r>
    <r>
      <rPr>
        <sz val="14"/>
        <rFont val="Angsana New"/>
        <family val="1"/>
      </rPr>
      <t>สร้างหลักประกันเรื่องสุขภาพ และส่งเสริมสวัสดิภาพสำหรับทุกคนในทุกวัย</t>
    </r>
  </si>
  <si>
    <r>
      <t>ง.ยุทธศาสตร์จังหวัดเชียงใหม่ :</t>
    </r>
    <r>
      <rPr>
        <sz val="14"/>
        <rFont val="Angsana New"/>
        <family val="1"/>
      </rPr>
      <t xml:space="preserve"> ประเด็นการพัฒนาที่ 4 การจัดการเชิงรุกในปัญหาฝุ่นควัน (PM2.5) และการรักษาทรัพยากรธรรมชาติ และสิ่งแวดล้อมแบบมีส่วนร่วม</t>
    </r>
  </si>
  <si>
    <r>
      <t>จ.ยุทธศาสตร์การพัฒนาขององค์กรปกครองส่วนท้องถิ่นในจังหวัดเชียงใหม่ :</t>
    </r>
    <r>
      <rPr>
        <sz val="14"/>
        <rFont val="Angsana New"/>
        <family val="1"/>
      </rPr>
      <t xml:space="preserve"> ยุทธศาสตร์ที่ 2 การพัฒนาเศรษฐกิจตามแนวทางปรัชญาเศรษฐกิจพอเพียง</t>
    </r>
  </si>
  <si>
    <r>
      <t>ยุทธศาสตร์การพัฒนาเทศบาลตำบลสันกลาง :</t>
    </r>
    <r>
      <rPr>
        <sz val="14"/>
        <rFont val="Angsana New"/>
        <family val="1"/>
      </rPr>
      <t xml:space="preserve"> ยุทธศาสตร์ที่ 3  ด้านสิ่งแวดล้อม</t>
    </r>
  </si>
  <si>
    <r>
      <t xml:space="preserve">กลยุทธ์ : </t>
    </r>
    <r>
      <rPr>
        <sz val="14"/>
        <rFont val="Angsana New"/>
        <family val="1"/>
      </rPr>
      <t>ส่งเสริมการบำบัดและจัดการขยะ</t>
    </r>
  </si>
  <si>
    <t>โครงการจัดซื้อรถบรรทุกขยะ ขนาด 1 ตัน</t>
  </si>
  <si>
    <t>ปริมาตรกระบอกสูบไม่ต่ำกว่า 2,400 ซีซี หรือ</t>
  </si>
  <si>
    <t>กำลังเครื่องยนต์ไม่ต่ำกว่า 110 กิโลวัตต์ แบบเปิด</t>
  </si>
  <si>
    <t>ข้างเทท้าย</t>
  </si>
  <si>
    <t>เพื่อรองรับปริมาณ</t>
  </si>
  <si>
    <t>มูลฝอยในเขตพื้นที่</t>
  </si>
  <si>
    <t>สันกลางที่เพิ่มมาก</t>
  </si>
  <si>
    <t>ขึ้นในอนาคต</t>
  </si>
  <si>
    <t>จัดเก็บขยะมูลฝอย</t>
  </si>
  <si>
    <t>ขึ้นได้อย่าง</t>
  </si>
  <si>
    <t>คลอบคลุมและ</t>
  </si>
  <si>
    <t>ทั่วถึง</t>
  </si>
  <si>
    <t>ในเขตเทศบาลตำบล</t>
  </si>
  <si>
    <t>ร้อยละพื้นที่</t>
  </si>
  <si>
    <t>ดำเนินการ</t>
  </si>
  <si>
    <t>ประชาชนในเขต</t>
  </si>
  <si>
    <t>พื้นที่รับผิดชอบ</t>
  </si>
  <si>
    <t>กอง</t>
  </si>
  <si>
    <t>สาธารณสุข</t>
  </si>
  <si>
    <t>และ</t>
  </si>
  <si>
    <t>สิ่งแวดล้อม</t>
  </si>
  <si>
    <t>โครงการติดตั้งเครื่องสูบน้ำพร้อมบ่อพักน้ำและ</t>
  </si>
  <si>
    <t xml:space="preserve">ท่อส่งน้ำ สถานที่ดำเนินงาน ท้ายซอย 11 หมู่ที่ 4  </t>
  </si>
  <si>
    <t>ติดตั้งเครื่องสูบน้ำ</t>
  </si>
  <si>
    <t>แผนพัฒนาท้องถิ่น (พ.ศ.2566-2570) เพิ่มเติมครั้งที่ 2-2569</t>
  </si>
  <si>
    <t xml:space="preserve">สถานที่ดำเนินงานหมู่ที่ 2  เขตติดต่อ หมู่ที่ 2 กับ </t>
  </si>
  <si>
    <t>หมู่ที่ 7</t>
  </si>
  <si>
    <t>ยาวรวม 464.00 เมตร</t>
  </si>
  <si>
    <t>หมู่ที่ 4 - เขตติดต่อหมู่ที่ 5</t>
  </si>
  <si>
    <t xml:space="preserve">เหล็ก สถานที่ดำเนินงาน ภายในซอยหมู่ที่ 4  </t>
  </si>
  <si>
    <t xml:space="preserve">ซอย 10 ตั้งแต่บ้านเลขที่ 5/4 - บ้านเลขที่ 5/1 </t>
  </si>
  <si>
    <t>พังทลาย และป้องกัน</t>
  </si>
  <si>
    <t>น้ำท่วม</t>
  </si>
  <si>
    <t>พร้อมบ่อพักน้ำ</t>
  </si>
  <si>
    <t>และเดินท่อ</t>
  </si>
  <si>
    <t>สถานที่ดำเนินงาน ซอย 9 (ซอยข้างหัวสะพาน</t>
  </si>
  <si>
    <t>น้ำร้อง) หมู่ที่ 6</t>
  </si>
  <si>
    <t xml:space="preserve">สถานที่ดำเนินงาน ซอยตรงข้ามบ้านเลขที่ 49/2 </t>
  </si>
  <si>
    <t>โครงการก่อสร้างกำแพงกันตลิ่งพัง โดยการเรียง</t>
  </si>
  <si>
    <t>กล่องเกรเบี้ยน สถานที่ดำเนินงาน ตั้งแต่</t>
  </si>
  <si>
    <t>บ้านเลขที่ 28/6 - บ้านเลขที่ 35/1 หมู่ที่ 6</t>
  </si>
  <si>
    <t xml:space="preserve">โครงการก่อสร้างท่อระบายน้ำคอนกรีตเสริมเหล็ก </t>
  </si>
  <si>
    <t>เพื่อป้องกันน้ำท่วม</t>
  </si>
  <si>
    <t>ในเขตเทศบาล</t>
  </si>
  <si>
    <t>หมู่ที่ 5 บ้านสันกลางใต้</t>
  </si>
  <si>
    <t>สถานที่ดำเนินงาน ถนนสายหลักสวนสายธารและ</t>
  </si>
  <si>
    <t>ซอยแยก หมู่ที่ 5</t>
  </si>
  <si>
    <t>โครงการก่อสร้างถนนคอนกรีตเสริมเหล็ก</t>
  </si>
  <si>
    <t xml:space="preserve">โครงการก่อสร้างสันชะลอความเร็ว </t>
  </si>
  <si>
    <t>สถานที่ดำเนินงาน ทุกหมู่บ้านในเขตพื้นที่ตำบล</t>
  </si>
  <si>
    <t xml:space="preserve">สันกลาง </t>
  </si>
  <si>
    <t>เพื่อป้องกันอันตราย</t>
  </si>
  <si>
    <t>จากการเกิดอุบัติเหตุ</t>
  </si>
  <si>
    <t>ได้รับความ</t>
  </si>
  <si>
    <t>ปลอดภัยมากขึ้น</t>
  </si>
  <si>
    <t>ประชาชนได้</t>
  </si>
  <si>
    <t>รับความปลอดภัย</t>
  </si>
  <si>
    <t>กว้าง 4.00,5.00 เมตร</t>
  </si>
  <si>
    <t>ยาว 560.00 เมตร</t>
  </si>
  <si>
    <t>สถานที่ดำเนินงาน ถนนสวนสายธารสายหลักข้าง</t>
  </si>
  <si>
    <t>บ้านเลขที่ 85 - บ้านเลขที่ 85/2  หมู่ที่ 5</t>
  </si>
  <si>
    <t>ยาว 346.00 เมตร</t>
  </si>
  <si>
    <t>รวมทั้งหมด 4 โครงการ</t>
  </si>
  <si>
    <t>โครงการศูนย์ส่งเสริมเศรษฐกิจชุมชนและ</t>
  </si>
  <si>
    <t>พัฒนาคุณภาพชีวิตประชาชนตำบลสันกลาง</t>
  </si>
  <si>
    <t>เพื่อส่งเสริม</t>
  </si>
  <si>
    <t>และพัฒนาคุณภาพ</t>
  </si>
  <si>
    <t>ชีวิตของประชาชน</t>
  </si>
  <si>
    <t>ประชาชนตำบล</t>
  </si>
  <si>
    <t>ก่อสร้างสันชะลอ</t>
  </si>
  <si>
    <t>จำนวน 20 จุด</t>
  </si>
  <si>
    <t>การป้องกันน้ำท่วม</t>
  </si>
  <si>
    <t>ป้องกันน้ำท่วม</t>
  </si>
  <si>
    <t>ในพื้นที่ได้มากขึ้น</t>
  </si>
  <si>
    <t>จำนวนผู้เข้าร่วม</t>
  </si>
  <si>
    <t>ประชาชนได้รับ</t>
  </si>
  <si>
    <t>การส่งเสริม</t>
  </si>
  <si>
    <t>พัฒนาคุณภาพชีวิต</t>
  </si>
  <si>
    <t>โครงการก่อสร้างรางตัวยูคอนกรีตเสริม</t>
  </si>
  <si>
    <t>2.1 แผนงานสังคมสงเคราะห์</t>
  </si>
  <si>
    <t>แผนพัฒนาท้องถิ่น (พ.ศ.2566-2570) เพิ่มเติมครั้งที่ 2/2569</t>
  </si>
  <si>
    <t>3. ยุทธศาสตร์การพัฒนาด้านเศรษฐกิจ</t>
  </si>
  <si>
    <t>-</t>
  </si>
  <si>
    <t>3.1 แผนงานการเกษตร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</si>
</sst>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_(* #,##0_);_(* \(#,##0\);_(* &quot;-&quot;??_);_(@_)"/>
    <numFmt numFmtId="189" formatCode="_-* #,##0_-;\-* #,##0_-;_-* &quot;-&quot;??_-;_-@_-"/>
  </numFmts>
  <fonts count="16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4"/>
      <color theme="1"/>
      <name val="Angsana New"/>
      <family val="1"/>
    </font>
    <font>
      <sz val="14"/>
      <name val="Angsana New"/>
      <family val="1"/>
    </font>
    <font>
      <b/>
      <sz val="14"/>
      <name val="Angsana New"/>
      <family val="1"/>
    </font>
    <font>
      <sz val="14"/>
      <color theme="1"/>
      <name val="Angsana New"/>
      <family val="1"/>
    </font>
    <font>
      <sz val="12"/>
      <name val="Angsana New"/>
      <family val="1"/>
    </font>
    <font>
      <sz val="8"/>
      <name val="Tahoma"/>
      <family val="2"/>
      <scheme val="minor"/>
    </font>
    <font>
      <sz val="10"/>
      <name val="Arial"/>
      <family val="2"/>
    </font>
    <font>
      <b/>
      <sz val="13"/>
      <name val="Angsana New"/>
      <family val="1"/>
    </font>
    <font>
      <sz val="13"/>
      <name val="Angsana New"/>
      <family val="1"/>
    </font>
    <font>
      <b/>
      <sz val="12"/>
      <color theme="1"/>
      <name val="Angsana New"/>
      <family val="1"/>
    </font>
    <font>
      <b/>
      <sz val="11"/>
      <color theme="1"/>
      <name val="Angsana New"/>
      <family val="1"/>
    </font>
    <font>
      <sz val="11"/>
      <color theme="1"/>
      <name val="Angsana New"/>
      <family val="1"/>
    </font>
    <font>
      <sz val="11"/>
      <name val="Angsana New"/>
      <family val="1"/>
    </font>
    <font>
      <sz val="12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87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</cellStyleXfs>
  <cellXfs count="237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3" fillId="2" borderId="0" xfId="0" applyFont="1" applyFill="1" applyAlignment="1">
      <alignment vertical="top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3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/>
    </xf>
    <xf numFmtId="0" fontId="5" fillId="2" borderId="5" xfId="0" applyFont="1" applyFill="1" applyBorder="1"/>
    <xf numFmtId="0" fontId="5" fillId="2" borderId="10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188" fontId="5" fillId="2" borderId="0" xfId="1" applyNumberFormat="1" applyFont="1" applyFill="1" applyBorder="1"/>
    <xf numFmtId="0" fontId="5" fillId="2" borderId="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88" fontId="3" fillId="2" borderId="5" xfId="1" applyNumberFormat="1" applyFont="1" applyFill="1" applyBorder="1" applyAlignment="1">
      <alignment horizontal="center" vertical="center"/>
    </xf>
    <xf numFmtId="189" fontId="3" fillId="2" borderId="5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0" xfId="0" applyFont="1" applyFill="1" applyBorder="1"/>
    <xf numFmtId="0" fontId="3" fillId="2" borderId="0" xfId="0" applyFont="1" applyFill="1"/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89" fontId="5" fillId="2" borderId="3" xfId="1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89" fontId="5" fillId="2" borderId="5" xfId="1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89" fontId="5" fillId="2" borderId="10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5" fillId="2" borderId="3" xfId="0" applyFont="1" applyFill="1" applyBorder="1"/>
    <xf numFmtId="189" fontId="3" fillId="2" borderId="3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89" fontId="5" fillId="2" borderId="0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/>
    </xf>
    <xf numFmtId="189" fontId="2" fillId="2" borderId="1" xfId="0" applyNumberFormat="1" applyFont="1" applyFill="1" applyBorder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/>
    </xf>
    <xf numFmtId="0" fontId="10" fillId="0" borderId="0" xfId="2" applyFont="1"/>
    <xf numFmtId="0" fontId="9" fillId="0" borderId="0" xfId="2" applyFont="1"/>
    <xf numFmtId="0" fontId="9" fillId="0" borderId="2" xfId="2" applyFont="1" applyBorder="1" applyAlignment="1">
      <alignment horizontal="center"/>
    </xf>
    <xf numFmtId="0" fontId="9" fillId="0" borderId="14" xfId="2" applyFont="1" applyBorder="1" applyAlignment="1">
      <alignment horizontal="center"/>
    </xf>
    <xf numFmtId="0" fontId="9" fillId="0" borderId="6" xfId="2" applyFont="1" applyBorder="1" applyAlignment="1">
      <alignment horizontal="center"/>
    </xf>
    <xf numFmtId="0" fontId="9" fillId="0" borderId="8" xfId="2" applyFont="1" applyBorder="1" applyAlignment="1">
      <alignment horizontal="center"/>
    </xf>
    <xf numFmtId="0" fontId="10" fillId="0" borderId="4" xfId="2" applyFont="1" applyBorder="1"/>
    <xf numFmtId="0" fontId="9" fillId="0" borderId="4" xfId="2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0" fontId="10" fillId="0" borderId="9" xfId="2" applyFont="1" applyBorder="1"/>
    <xf numFmtId="0" fontId="9" fillId="0" borderId="5" xfId="2" applyFont="1" applyBorder="1" applyAlignment="1">
      <alignment horizontal="center"/>
    </xf>
    <xf numFmtId="0" fontId="9" fillId="0" borderId="2" xfId="2" applyFont="1" applyBorder="1"/>
    <xf numFmtId="0" fontId="9" fillId="0" borderId="2" xfId="2" applyFont="1" applyBorder="1" applyAlignment="1">
      <alignment horizontal="center" vertical="center" wrapText="1"/>
    </xf>
    <xf numFmtId="0" fontId="9" fillId="0" borderId="4" xfId="2" applyFont="1" applyBorder="1"/>
    <xf numFmtId="0" fontId="10" fillId="0" borderId="5" xfId="2" applyFont="1" applyBorder="1" applyAlignment="1">
      <alignment horizontal="center"/>
    </xf>
    <xf numFmtId="0" fontId="10" fillId="0" borderId="4" xfId="2" applyFont="1" applyBorder="1" applyAlignment="1">
      <alignment horizontal="left"/>
    </xf>
    <xf numFmtId="0" fontId="10" fillId="0" borderId="9" xfId="2" applyFont="1" applyBorder="1" applyAlignment="1">
      <alignment horizontal="left"/>
    </xf>
    <xf numFmtId="0" fontId="10" fillId="0" borderId="10" xfId="2" quotePrefix="1" applyFont="1" applyBorder="1" applyAlignment="1">
      <alignment horizontal="center"/>
    </xf>
    <xf numFmtId="0" fontId="9" fillId="0" borderId="4" xfId="2" applyFont="1" applyBorder="1" applyAlignment="1">
      <alignment horizontal="left"/>
    </xf>
    <xf numFmtId="0" fontId="10" fillId="0" borderId="2" xfId="2" applyFont="1" applyBorder="1" applyAlignment="1">
      <alignment horizontal="left"/>
    </xf>
    <xf numFmtId="0" fontId="10" fillId="0" borderId="3" xfId="2" quotePrefix="1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189" fontId="9" fillId="0" borderId="5" xfId="3" applyNumberFormat="1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9" fillId="0" borderId="5" xfId="2" applyFont="1" applyBorder="1"/>
    <xf numFmtId="0" fontId="9" fillId="0" borderId="5" xfId="2" applyFont="1" applyBorder="1" applyAlignment="1">
      <alignment vertical="top" wrapText="1"/>
    </xf>
    <xf numFmtId="0" fontId="10" fillId="0" borderId="0" xfId="2" applyFont="1" applyAlignment="1">
      <alignment horizontal="center"/>
    </xf>
    <xf numFmtId="43" fontId="10" fillId="0" borderId="3" xfId="3" applyFont="1" applyBorder="1" applyAlignment="1">
      <alignment horizontal="center"/>
    </xf>
    <xf numFmtId="189" fontId="6" fillId="0" borderId="5" xfId="3" applyNumberFormat="1" applyFont="1" applyBorder="1" applyAlignment="1">
      <alignment horizontal="center"/>
    </xf>
    <xf numFmtId="189" fontId="10" fillId="0" borderId="5" xfId="3" applyNumberFormat="1" applyFont="1" applyBorder="1" applyAlignment="1">
      <alignment horizontal="center"/>
    </xf>
    <xf numFmtId="189" fontId="10" fillId="0" borderId="10" xfId="3" quotePrefix="1" applyNumberFormat="1" applyFont="1" applyBorder="1" applyAlignment="1">
      <alignment horizontal="center"/>
    </xf>
    <xf numFmtId="0" fontId="9" fillId="0" borderId="1" xfId="2" applyFont="1" applyBorder="1" applyAlignment="1">
      <alignment horizontal="right"/>
    </xf>
    <xf numFmtId="0" fontId="10" fillId="0" borderId="5" xfId="2" applyFont="1" applyBorder="1" applyAlignment="1">
      <alignment horizontal="center" vertical="top" wrapText="1"/>
    </xf>
    <xf numFmtId="188" fontId="9" fillId="0" borderId="5" xfId="1" applyNumberFormat="1" applyFont="1" applyBorder="1" applyAlignment="1">
      <alignment horizontal="center"/>
    </xf>
    <xf numFmtId="189" fontId="9" fillId="0" borderId="8" xfId="3" applyNumberFormat="1" applyFont="1" applyBorder="1" applyAlignment="1">
      <alignment horizontal="center"/>
    </xf>
    <xf numFmtId="43" fontId="10" fillId="0" borderId="0" xfId="2" applyNumberFormat="1" applyFont="1" applyAlignment="1">
      <alignment horizont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0" xfId="0" applyFont="1"/>
    <xf numFmtId="0" fontId="5" fillId="2" borderId="5" xfId="0" applyFont="1" applyFill="1" applyBorder="1" applyAlignment="1">
      <alignment horizontal="center" wrapText="1"/>
    </xf>
    <xf numFmtId="0" fontId="5" fillId="0" borderId="3" xfId="0" applyFont="1" applyBorder="1"/>
    <xf numFmtId="0" fontId="3" fillId="2" borderId="3" xfId="0" applyFont="1" applyFill="1" applyBorder="1" applyAlignment="1">
      <alignment horizontal="center" vertical="top"/>
    </xf>
    <xf numFmtId="189" fontId="5" fillId="2" borderId="1" xfId="1" applyNumberFormat="1" applyFont="1" applyFill="1" applyBorder="1" applyAlignment="1">
      <alignment horizontal="center" vertical="center"/>
    </xf>
    <xf numFmtId="189" fontId="11" fillId="2" borderId="1" xfId="1" applyNumberFormat="1" applyFont="1" applyFill="1" applyBorder="1" applyAlignment="1">
      <alignment horizontal="center" vertical="center"/>
    </xf>
    <xf numFmtId="189" fontId="12" fillId="2" borderId="1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0" xfId="0" applyFont="1"/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/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9" fontId="5" fillId="0" borderId="3" xfId="1" applyNumberFormat="1" applyFont="1" applyBorder="1" applyAlignment="1">
      <alignment horizontal="center" vertical="center"/>
    </xf>
    <xf numFmtId="189" fontId="5" fillId="0" borderId="5" xfId="1" applyNumberFormat="1" applyFont="1" applyBorder="1" applyAlignment="1">
      <alignment horizontal="center" vertical="center"/>
    </xf>
    <xf numFmtId="0" fontId="5" fillId="0" borderId="10" xfId="0" applyFont="1" applyBorder="1"/>
    <xf numFmtId="189" fontId="5" fillId="0" borderId="10" xfId="1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0" xfId="0" applyFont="1" applyBorder="1"/>
    <xf numFmtId="0" fontId="5" fillId="0" borderId="4" xfId="0" applyFont="1" applyBorder="1" applyAlignment="1">
      <alignment horizontal="center"/>
    </xf>
    <xf numFmtId="189" fontId="2" fillId="2" borderId="1" xfId="1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top"/>
    </xf>
    <xf numFmtId="189" fontId="5" fillId="2" borderId="5" xfId="1" applyNumberFormat="1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189" fontId="14" fillId="2" borderId="5" xfId="1" applyNumberFormat="1" applyFont="1" applyFill="1" applyBorder="1" applyAlignment="1">
      <alignment horizontal="center" vertical="center"/>
    </xf>
    <xf numFmtId="189" fontId="15" fillId="0" borderId="3" xfId="1" applyNumberFormat="1" applyFont="1" applyBorder="1" applyAlignment="1">
      <alignment horizontal="center" vertical="center"/>
    </xf>
    <xf numFmtId="189" fontId="13" fillId="0" borderId="3" xfId="1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3" fillId="2" borderId="3" xfId="0" applyFont="1" applyFill="1" applyBorder="1"/>
    <xf numFmtId="0" fontId="3" fillId="2" borderId="5" xfId="0" applyFont="1" applyFill="1" applyBorder="1"/>
    <xf numFmtId="0" fontId="5" fillId="2" borderId="3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left" wrapText="1"/>
    </xf>
    <xf numFmtId="0" fontId="3" fillId="2" borderId="13" xfId="0" applyFont="1" applyFill="1" applyBorder="1" applyAlignment="1">
      <alignment horizontal="center" vertical="center" wrapText="1"/>
    </xf>
    <xf numFmtId="189" fontId="5" fillId="2" borderId="3" xfId="1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5" fillId="2" borderId="4" xfId="0" applyFont="1" applyFill="1" applyBorder="1" applyAlignment="1">
      <alignment horizontal="left" wrapText="1"/>
    </xf>
    <xf numFmtId="0" fontId="3" fillId="2" borderId="11" xfId="0" applyFont="1" applyFill="1" applyBorder="1" applyAlignment="1">
      <alignment horizontal="center" vertical="center" wrapText="1"/>
    </xf>
    <xf numFmtId="189" fontId="5" fillId="2" borderId="5" xfId="1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left" wrapText="1"/>
    </xf>
    <xf numFmtId="189" fontId="5" fillId="2" borderId="10" xfId="1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/>
    </xf>
    <xf numFmtId="188" fontId="3" fillId="2" borderId="3" xfId="1" applyNumberFormat="1" applyFont="1" applyFill="1" applyBorder="1" applyAlignment="1">
      <alignment horizontal="center" vertical="center"/>
    </xf>
    <xf numFmtId="0" fontId="10" fillId="0" borderId="10" xfId="2" applyFont="1" applyBorder="1" applyAlignment="1">
      <alignment vertical="top" wrapText="1"/>
    </xf>
    <xf numFmtId="0" fontId="10" fillId="0" borderId="10" xfId="2" applyFont="1" applyBorder="1" applyAlignment="1">
      <alignment horizontal="center" vertical="top" wrapText="1"/>
    </xf>
    <xf numFmtId="189" fontId="10" fillId="0" borderId="10" xfId="3" applyNumberFormat="1" applyFont="1" applyBorder="1" applyAlignment="1">
      <alignment horizontal="center" vertical="top" wrapText="1"/>
    </xf>
    <xf numFmtId="189" fontId="15" fillId="2" borderId="5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left" vertical="top"/>
    </xf>
    <xf numFmtId="0" fontId="3" fillId="2" borderId="13" xfId="0" applyFont="1" applyFill="1" applyBorder="1" applyAlignment="1">
      <alignment horizontal="center" vertical="top"/>
    </xf>
    <xf numFmtId="189" fontId="15" fillId="2" borderId="5" xfId="1" applyNumberFormat="1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189" fontId="5" fillId="2" borderId="13" xfId="1" applyNumberFormat="1" applyFont="1" applyFill="1" applyBorder="1" applyAlignment="1">
      <alignment horizontal="center" vertical="center" wrapText="1"/>
    </xf>
    <xf numFmtId="189" fontId="5" fillId="2" borderId="11" xfId="1" applyNumberFormat="1" applyFont="1" applyFill="1" applyBorder="1" applyAlignment="1">
      <alignment horizontal="center" vertical="center" wrapText="1"/>
    </xf>
    <xf numFmtId="189" fontId="5" fillId="2" borderId="12" xfId="1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wrapText="1"/>
    </xf>
    <xf numFmtId="0" fontId="5" fillId="2" borderId="10" xfId="0" applyFont="1" applyFill="1" applyBorder="1" applyAlignment="1">
      <alignment horizontal="left" wrapText="1"/>
    </xf>
    <xf numFmtId="0" fontId="3" fillId="2" borderId="10" xfId="0" applyFont="1" applyFill="1" applyBorder="1" applyAlignment="1">
      <alignment wrapText="1"/>
    </xf>
    <xf numFmtId="189" fontId="5" fillId="2" borderId="13" xfId="1" applyNumberFormat="1" applyFont="1" applyFill="1" applyBorder="1" applyAlignment="1">
      <alignment horizontal="center" vertical="center"/>
    </xf>
    <xf numFmtId="189" fontId="5" fillId="2" borderId="11" xfId="1" applyNumberFormat="1" applyFont="1" applyFill="1" applyBorder="1" applyAlignment="1">
      <alignment horizontal="center" vertical="center"/>
    </xf>
    <xf numFmtId="0" fontId="5" fillId="2" borderId="11" xfId="0" applyFont="1" applyFill="1" applyBorder="1"/>
    <xf numFmtId="0" fontId="5" fillId="2" borderId="12" xfId="0" applyFont="1" applyFill="1" applyBorder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89" fontId="15" fillId="0" borderId="5" xfId="1" applyNumberFormat="1" applyFont="1" applyBorder="1" applyAlignment="1">
      <alignment horizontal="center" vertical="center"/>
    </xf>
    <xf numFmtId="189" fontId="11" fillId="2" borderId="0" xfId="1" applyNumberFormat="1" applyFont="1" applyFill="1" applyBorder="1" applyAlignment="1">
      <alignment horizontal="center" vertical="center"/>
    </xf>
    <xf numFmtId="189" fontId="13" fillId="0" borderId="5" xfId="1" applyNumberFormat="1" applyFont="1" applyBorder="1" applyAlignment="1">
      <alignment horizontal="center" vertical="center"/>
    </xf>
    <xf numFmtId="0" fontId="9" fillId="0" borderId="2" xfId="2" applyFont="1" applyBorder="1" applyAlignment="1">
      <alignment horizontal="left"/>
    </xf>
    <xf numFmtId="0" fontId="9" fillId="0" borderId="13" xfId="2" applyFont="1" applyBorder="1" applyAlignment="1">
      <alignment horizontal="left"/>
    </xf>
    <xf numFmtId="0" fontId="9" fillId="0" borderId="0" xfId="2" applyFont="1" applyAlignment="1">
      <alignment horizontal="center"/>
    </xf>
    <xf numFmtId="0" fontId="9" fillId="0" borderId="6" xfId="2" applyFont="1" applyBorder="1" applyAlignment="1">
      <alignment horizontal="center"/>
    </xf>
    <xf numFmtId="0" fontId="9" fillId="0" borderId="8" xfId="2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10" fillId="0" borderId="3" xfId="2" applyFont="1" applyBorder="1" applyAlignment="1"/>
    <xf numFmtId="0" fontId="10" fillId="0" borderId="5" xfId="2" applyFont="1" applyBorder="1" applyAlignment="1"/>
    <xf numFmtId="0" fontId="10" fillId="0" borderId="10" xfId="2" quotePrefix="1" applyFont="1" applyBorder="1" applyAlignment="1"/>
    <xf numFmtId="189" fontId="9" fillId="0" borderId="5" xfId="3" applyNumberFormat="1" applyFont="1" applyBorder="1" applyAlignment="1"/>
    <xf numFmtId="0" fontId="10" fillId="0" borderId="3" xfId="2" quotePrefix="1" applyFont="1" applyBorder="1" applyAlignment="1"/>
    <xf numFmtId="189" fontId="9" fillId="0" borderId="8" xfId="3" applyNumberFormat="1" applyFont="1" applyBorder="1" applyAlignment="1"/>
    <xf numFmtId="0" fontId="9" fillId="0" borderId="1" xfId="2" applyFont="1" applyBorder="1" applyAlignment="1"/>
    <xf numFmtId="189" fontId="9" fillId="0" borderId="8" xfId="2" applyNumberFormat="1" applyFont="1" applyBorder="1" applyAlignment="1"/>
    <xf numFmtId="189" fontId="9" fillId="0" borderId="8" xfId="2" applyNumberFormat="1" applyFont="1" applyBorder="1" applyAlignment="1">
      <alignment horizontal="center"/>
    </xf>
    <xf numFmtId="189" fontId="10" fillId="0" borderId="0" xfId="2" applyNumberFormat="1" applyFont="1" applyAlignment="1">
      <alignment horizontal="center"/>
    </xf>
    <xf numFmtId="188" fontId="10" fillId="0" borderId="5" xfId="1" applyNumberFormat="1" applyFont="1" applyBorder="1" applyAlignment="1">
      <alignment horizontal="center"/>
    </xf>
    <xf numFmtId="188" fontId="10" fillId="0" borderId="10" xfId="1" quotePrefix="1" applyNumberFormat="1" applyFont="1" applyBorder="1" applyAlignment="1">
      <alignment horizontal="center"/>
    </xf>
    <xf numFmtId="188" fontId="10" fillId="0" borderId="3" xfId="1" quotePrefix="1" applyNumberFormat="1" applyFont="1" applyBorder="1" applyAlignment="1">
      <alignment horizontal="center"/>
    </xf>
    <xf numFmtId="188" fontId="9" fillId="0" borderId="8" xfId="1" applyNumberFormat="1" applyFont="1" applyBorder="1" applyAlignment="1">
      <alignment horizontal="center"/>
    </xf>
    <xf numFmtId="188" fontId="10" fillId="0" borderId="3" xfId="1" applyNumberFormat="1" applyFont="1" applyBorder="1" applyAlignment="1">
      <alignment horizontal="center"/>
    </xf>
    <xf numFmtId="188" fontId="10" fillId="0" borderId="10" xfId="1" applyNumberFormat="1" applyFont="1" applyBorder="1" applyAlignment="1">
      <alignment horizontal="center" vertical="top" wrapText="1"/>
    </xf>
    <xf numFmtId="188" fontId="9" fillId="0" borderId="1" xfId="1" applyNumberFormat="1" applyFont="1" applyBorder="1" applyAlignment="1">
      <alignment horizontal="center"/>
    </xf>
    <xf numFmtId="188" fontId="10" fillId="0" borderId="10" xfId="1" applyNumberFormat="1" applyFont="1" applyBorder="1" applyAlignment="1">
      <alignment horizontal="center"/>
    </xf>
  </cellXfs>
  <cellStyles count="4">
    <cellStyle name="จุลภาค" xfId="1" builtinId="3"/>
    <cellStyle name="จุลภาค 2" xfId="3" xr:uid="{D8A78052-5965-4672-9CEA-B89DE31355F4}"/>
    <cellStyle name="ปกติ" xfId="0" builtinId="0"/>
    <cellStyle name="ปกติ 2" xfId="2" xr:uid="{8EC4B647-5E13-43D3-BA0B-E6B27E73D9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83E7-38C7-4221-A418-E25673C59C6A}">
  <dimension ref="A1:N25"/>
  <sheetViews>
    <sheetView tabSelected="1" zoomScaleNormal="100" zoomScaleSheetLayoutView="112" workbookViewId="0">
      <selection activeCell="T16" sqref="T16"/>
    </sheetView>
  </sheetViews>
  <sheetFormatPr defaultRowHeight="18.75" x14ac:dyDescent="0.4"/>
  <cols>
    <col min="1" max="1" width="3.75" style="57" customWidth="1"/>
    <col min="2" max="2" width="26.875" style="57" customWidth="1"/>
    <col min="3" max="3" width="6.5" style="84" customWidth="1"/>
    <col min="4" max="4" width="8.125" style="84" customWidth="1"/>
    <col min="5" max="5" width="6" style="84" customWidth="1"/>
    <col min="6" max="6" width="8.375" style="84" customWidth="1"/>
    <col min="7" max="7" width="6.25" style="84" customWidth="1"/>
    <col min="8" max="8" width="9.375" style="84" customWidth="1"/>
    <col min="9" max="9" width="6.375" style="84" customWidth="1"/>
    <col min="10" max="10" width="9.25" style="84" customWidth="1"/>
    <col min="11" max="11" width="6.375" style="84" customWidth="1"/>
    <col min="12" max="12" width="9.75" style="84" customWidth="1"/>
    <col min="13" max="13" width="6.625" style="84" customWidth="1"/>
    <col min="14" max="14" width="9.625" style="84" customWidth="1"/>
    <col min="15" max="246" width="9" style="57"/>
    <col min="247" max="247" width="2.5" style="57" customWidth="1"/>
    <col min="248" max="248" width="23.75" style="57" customWidth="1"/>
    <col min="249" max="249" width="4.375" style="57" customWidth="1"/>
    <col min="250" max="250" width="10.875" style="57" customWidth="1"/>
    <col min="251" max="251" width="5.125" style="57" customWidth="1"/>
    <col min="252" max="252" width="11" style="57" customWidth="1"/>
    <col min="253" max="253" width="4.625" style="57" customWidth="1"/>
    <col min="254" max="254" width="11.375" style="57" customWidth="1"/>
    <col min="255" max="255" width="5.25" style="57" customWidth="1"/>
    <col min="256" max="256" width="11.25" style="57" customWidth="1"/>
    <col min="257" max="257" width="5" style="57" customWidth="1"/>
    <col min="258" max="258" width="12.375" style="57" customWidth="1"/>
    <col min="259" max="259" width="6.625" style="57" customWidth="1"/>
    <col min="260" max="260" width="12.125" style="57" customWidth="1"/>
    <col min="261" max="502" width="9" style="57"/>
    <col min="503" max="503" width="2.5" style="57" customWidth="1"/>
    <col min="504" max="504" width="23.75" style="57" customWidth="1"/>
    <col min="505" max="505" width="4.375" style="57" customWidth="1"/>
    <col min="506" max="506" width="10.875" style="57" customWidth="1"/>
    <col min="507" max="507" width="5.125" style="57" customWidth="1"/>
    <col min="508" max="508" width="11" style="57" customWidth="1"/>
    <col min="509" max="509" width="4.625" style="57" customWidth="1"/>
    <col min="510" max="510" width="11.375" style="57" customWidth="1"/>
    <col min="511" max="511" width="5.25" style="57" customWidth="1"/>
    <col min="512" max="512" width="11.25" style="57" customWidth="1"/>
    <col min="513" max="513" width="5" style="57" customWidth="1"/>
    <col min="514" max="514" width="12.375" style="57" customWidth="1"/>
    <col min="515" max="515" width="6.625" style="57" customWidth="1"/>
    <col min="516" max="516" width="12.125" style="57" customWidth="1"/>
    <col min="517" max="758" width="9" style="57"/>
    <col min="759" max="759" width="2.5" style="57" customWidth="1"/>
    <col min="760" max="760" width="23.75" style="57" customWidth="1"/>
    <col min="761" max="761" width="4.375" style="57" customWidth="1"/>
    <col min="762" max="762" width="10.875" style="57" customWidth="1"/>
    <col min="763" max="763" width="5.125" style="57" customWidth="1"/>
    <col min="764" max="764" width="11" style="57" customWidth="1"/>
    <col min="765" max="765" width="4.625" style="57" customWidth="1"/>
    <col min="766" max="766" width="11.375" style="57" customWidth="1"/>
    <col min="767" max="767" width="5.25" style="57" customWidth="1"/>
    <col min="768" max="768" width="11.25" style="57" customWidth="1"/>
    <col min="769" max="769" width="5" style="57" customWidth="1"/>
    <col min="770" max="770" width="12.375" style="57" customWidth="1"/>
    <col min="771" max="771" width="6.625" style="57" customWidth="1"/>
    <col min="772" max="772" width="12.125" style="57" customWidth="1"/>
    <col min="773" max="1014" width="9" style="57"/>
    <col min="1015" max="1015" width="2.5" style="57" customWidth="1"/>
    <col min="1016" max="1016" width="23.75" style="57" customWidth="1"/>
    <col min="1017" max="1017" width="4.375" style="57" customWidth="1"/>
    <col min="1018" max="1018" width="10.875" style="57" customWidth="1"/>
    <col min="1019" max="1019" width="5.125" style="57" customWidth="1"/>
    <col min="1020" max="1020" width="11" style="57" customWidth="1"/>
    <col min="1021" max="1021" width="4.625" style="57" customWidth="1"/>
    <col min="1022" max="1022" width="11.375" style="57" customWidth="1"/>
    <col min="1023" max="1023" width="5.25" style="57" customWidth="1"/>
    <col min="1024" max="1024" width="11.25" style="57" customWidth="1"/>
    <col min="1025" max="1025" width="5" style="57" customWidth="1"/>
    <col min="1026" max="1026" width="12.375" style="57" customWidth="1"/>
    <col min="1027" max="1027" width="6.625" style="57" customWidth="1"/>
    <col min="1028" max="1028" width="12.125" style="57" customWidth="1"/>
    <col min="1029" max="1270" width="9" style="57"/>
    <col min="1271" max="1271" width="2.5" style="57" customWidth="1"/>
    <col min="1272" max="1272" width="23.75" style="57" customWidth="1"/>
    <col min="1273" max="1273" width="4.375" style="57" customWidth="1"/>
    <col min="1274" max="1274" width="10.875" style="57" customWidth="1"/>
    <col min="1275" max="1275" width="5.125" style="57" customWidth="1"/>
    <col min="1276" max="1276" width="11" style="57" customWidth="1"/>
    <col min="1277" max="1277" width="4.625" style="57" customWidth="1"/>
    <col min="1278" max="1278" width="11.375" style="57" customWidth="1"/>
    <col min="1279" max="1279" width="5.25" style="57" customWidth="1"/>
    <col min="1280" max="1280" width="11.25" style="57" customWidth="1"/>
    <col min="1281" max="1281" width="5" style="57" customWidth="1"/>
    <col min="1282" max="1282" width="12.375" style="57" customWidth="1"/>
    <col min="1283" max="1283" width="6.625" style="57" customWidth="1"/>
    <col min="1284" max="1284" width="12.125" style="57" customWidth="1"/>
    <col min="1285" max="1526" width="9" style="57"/>
    <col min="1527" max="1527" width="2.5" style="57" customWidth="1"/>
    <col min="1528" max="1528" width="23.75" style="57" customWidth="1"/>
    <col min="1529" max="1529" width="4.375" style="57" customWidth="1"/>
    <col min="1530" max="1530" width="10.875" style="57" customWidth="1"/>
    <col min="1531" max="1531" width="5.125" style="57" customWidth="1"/>
    <col min="1532" max="1532" width="11" style="57" customWidth="1"/>
    <col min="1533" max="1533" width="4.625" style="57" customWidth="1"/>
    <col min="1534" max="1534" width="11.375" style="57" customWidth="1"/>
    <col min="1535" max="1535" width="5.25" style="57" customWidth="1"/>
    <col min="1536" max="1536" width="11.25" style="57" customWidth="1"/>
    <col min="1537" max="1537" width="5" style="57" customWidth="1"/>
    <col min="1538" max="1538" width="12.375" style="57" customWidth="1"/>
    <col min="1539" max="1539" width="6.625" style="57" customWidth="1"/>
    <col min="1540" max="1540" width="12.125" style="57" customWidth="1"/>
    <col min="1541" max="1782" width="9" style="57"/>
    <col min="1783" max="1783" width="2.5" style="57" customWidth="1"/>
    <col min="1784" max="1784" width="23.75" style="57" customWidth="1"/>
    <col min="1785" max="1785" width="4.375" style="57" customWidth="1"/>
    <col min="1786" max="1786" width="10.875" style="57" customWidth="1"/>
    <col min="1787" max="1787" width="5.125" style="57" customWidth="1"/>
    <col min="1788" max="1788" width="11" style="57" customWidth="1"/>
    <col min="1789" max="1789" width="4.625" style="57" customWidth="1"/>
    <col min="1790" max="1790" width="11.375" style="57" customWidth="1"/>
    <col min="1791" max="1791" width="5.25" style="57" customWidth="1"/>
    <col min="1792" max="1792" width="11.25" style="57" customWidth="1"/>
    <col min="1793" max="1793" width="5" style="57" customWidth="1"/>
    <col min="1794" max="1794" width="12.375" style="57" customWidth="1"/>
    <col min="1795" max="1795" width="6.625" style="57" customWidth="1"/>
    <col min="1796" max="1796" width="12.125" style="57" customWidth="1"/>
    <col min="1797" max="2038" width="9" style="57"/>
    <col min="2039" max="2039" width="2.5" style="57" customWidth="1"/>
    <col min="2040" max="2040" width="23.75" style="57" customWidth="1"/>
    <col min="2041" max="2041" width="4.375" style="57" customWidth="1"/>
    <col min="2042" max="2042" width="10.875" style="57" customWidth="1"/>
    <col min="2043" max="2043" width="5.125" style="57" customWidth="1"/>
    <col min="2044" max="2044" width="11" style="57" customWidth="1"/>
    <col min="2045" max="2045" width="4.625" style="57" customWidth="1"/>
    <col min="2046" max="2046" width="11.375" style="57" customWidth="1"/>
    <col min="2047" max="2047" width="5.25" style="57" customWidth="1"/>
    <col min="2048" max="2048" width="11.25" style="57" customWidth="1"/>
    <col min="2049" max="2049" width="5" style="57" customWidth="1"/>
    <col min="2050" max="2050" width="12.375" style="57" customWidth="1"/>
    <col min="2051" max="2051" width="6.625" style="57" customWidth="1"/>
    <col min="2052" max="2052" width="12.125" style="57" customWidth="1"/>
    <col min="2053" max="2294" width="9" style="57"/>
    <col min="2295" max="2295" width="2.5" style="57" customWidth="1"/>
    <col min="2296" max="2296" width="23.75" style="57" customWidth="1"/>
    <col min="2297" max="2297" width="4.375" style="57" customWidth="1"/>
    <col min="2298" max="2298" width="10.875" style="57" customWidth="1"/>
    <col min="2299" max="2299" width="5.125" style="57" customWidth="1"/>
    <col min="2300" max="2300" width="11" style="57" customWidth="1"/>
    <col min="2301" max="2301" width="4.625" style="57" customWidth="1"/>
    <col min="2302" max="2302" width="11.375" style="57" customWidth="1"/>
    <col min="2303" max="2303" width="5.25" style="57" customWidth="1"/>
    <col min="2304" max="2304" width="11.25" style="57" customWidth="1"/>
    <col min="2305" max="2305" width="5" style="57" customWidth="1"/>
    <col min="2306" max="2306" width="12.375" style="57" customWidth="1"/>
    <col min="2307" max="2307" width="6.625" style="57" customWidth="1"/>
    <col min="2308" max="2308" width="12.125" style="57" customWidth="1"/>
    <col min="2309" max="2550" width="9" style="57"/>
    <col min="2551" max="2551" width="2.5" style="57" customWidth="1"/>
    <col min="2552" max="2552" width="23.75" style="57" customWidth="1"/>
    <col min="2553" max="2553" width="4.375" style="57" customWidth="1"/>
    <col min="2554" max="2554" width="10.875" style="57" customWidth="1"/>
    <col min="2555" max="2555" width="5.125" style="57" customWidth="1"/>
    <col min="2556" max="2556" width="11" style="57" customWidth="1"/>
    <col min="2557" max="2557" width="4.625" style="57" customWidth="1"/>
    <col min="2558" max="2558" width="11.375" style="57" customWidth="1"/>
    <col min="2559" max="2559" width="5.25" style="57" customWidth="1"/>
    <col min="2560" max="2560" width="11.25" style="57" customWidth="1"/>
    <col min="2561" max="2561" width="5" style="57" customWidth="1"/>
    <col min="2562" max="2562" width="12.375" style="57" customWidth="1"/>
    <col min="2563" max="2563" width="6.625" style="57" customWidth="1"/>
    <col min="2564" max="2564" width="12.125" style="57" customWidth="1"/>
    <col min="2565" max="2806" width="9" style="57"/>
    <col min="2807" max="2807" width="2.5" style="57" customWidth="1"/>
    <col min="2808" max="2808" width="23.75" style="57" customWidth="1"/>
    <col min="2809" max="2809" width="4.375" style="57" customWidth="1"/>
    <col min="2810" max="2810" width="10.875" style="57" customWidth="1"/>
    <col min="2811" max="2811" width="5.125" style="57" customWidth="1"/>
    <col min="2812" max="2812" width="11" style="57" customWidth="1"/>
    <col min="2813" max="2813" width="4.625" style="57" customWidth="1"/>
    <col min="2814" max="2814" width="11.375" style="57" customWidth="1"/>
    <col min="2815" max="2815" width="5.25" style="57" customWidth="1"/>
    <col min="2816" max="2816" width="11.25" style="57" customWidth="1"/>
    <col min="2817" max="2817" width="5" style="57" customWidth="1"/>
    <col min="2818" max="2818" width="12.375" style="57" customWidth="1"/>
    <col min="2819" max="2819" width="6.625" style="57" customWidth="1"/>
    <col min="2820" max="2820" width="12.125" style="57" customWidth="1"/>
    <col min="2821" max="3062" width="9" style="57"/>
    <col min="3063" max="3063" width="2.5" style="57" customWidth="1"/>
    <col min="3064" max="3064" width="23.75" style="57" customWidth="1"/>
    <col min="3065" max="3065" width="4.375" style="57" customWidth="1"/>
    <col min="3066" max="3066" width="10.875" style="57" customWidth="1"/>
    <col min="3067" max="3067" width="5.125" style="57" customWidth="1"/>
    <col min="3068" max="3068" width="11" style="57" customWidth="1"/>
    <col min="3069" max="3069" width="4.625" style="57" customWidth="1"/>
    <col min="3070" max="3070" width="11.375" style="57" customWidth="1"/>
    <col min="3071" max="3071" width="5.25" style="57" customWidth="1"/>
    <col min="3072" max="3072" width="11.25" style="57" customWidth="1"/>
    <col min="3073" max="3073" width="5" style="57" customWidth="1"/>
    <col min="3074" max="3074" width="12.375" style="57" customWidth="1"/>
    <col min="3075" max="3075" width="6.625" style="57" customWidth="1"/>
    <col min="3076" max="3076" width="12.125" style="57" customWidth="1"/>
    <col min="3077" max="3318" width="9" style="57"/>
    <col min="3319" max="3319" width="2.5" style="57" customWidth="1"/>
    <col min="3320" max="3320" width="23.75" style="57" customWidth="1"/>
    <col min="3321" max="3321" width="4.375" style="57" customWidth="1"/>
    <col min="3322" max="3322" width="10.875" style="57" customWidth="1"/>
    <col min="3323" max="3323" width="5.125" style="57" customWidth="1"/>
    <col min="3324" max="3324" width="11" style="57" customWidth="1"/>
    <col min="3325" max="3325" width="4.625" style="57" customWidth="1"/>
    <col min="3326" max="3326" width="11.375" style="57" customWidth="1"/>
    <col min="3327" max="3327" width="5.25" style="57" customWidth="1"/>
    <col min="3328" max="3328" width="11.25" style="57" customWidth="1"/>
    <col min="3329" max="3329" width="5" style="57" customWidth="1"/>
    <col min="3330" max="3330" width="12.375" style="57" customWidth="1"/>
    <col min="3331" max="3331" width="6.625" style="57" customWidth="1"/>
    <col min="3332" max="3332" width="12.125" style="57" customWidth="1"/>
    <col min="3333" max="3574" width="9" style="57"/>
    <col min="3575" max="3575" width="2.5" style="57" customWidth="1"/>
    <col min="3576" max="3576" width="23.75" style="57" customWidth="1"/>
    <col min="3577" max="3577" width="4.375" style="57" customWidth="1"/>
    <col min="3578" max="3578" width="10.875" style="57" customWidth="1"/>
    <col min="3579" max="3579" width="5.125" style="57" customWidth="1"/>
    <col min="3580" max="3580" width="11" style="57" customWidth="1"/>
    <col min="3581" max="3581" width="4.625" style="57" customWidth="1"/>
    <col min="3582" max="3582" width="11.375" style="57" customWidth="1"/>
    <col min="3583" max="3583" width="5.25" style="57" customWidth="1"/>
    <col min="3584" max="3584" width="11.25" style="57" customWidth="1"/>
    <col min="3585" max="3585" width="5" style="57" customWidth="1"/>
    <col min="3586" max="3586" width="12.375" style="57" customWidth="1"/>
    <col min="3587" max="3587" width="6.625" style="57" customWidth="1"/>
    <col min="3588" max="3588" width="12.125" style="57" customWidth="1"/>
    <col min="3589" max="3830" width="9" style="57"/>
    <col min="3831" max="3831" width="2.5" style="57" customWidth="1"/>
    <col min="3832" max="3832" width="23.75" style="57" customWidth="1"/>
    <col min="3833" max="3833" width="4.375" style="57" customWidth="1"/>
    <col min="3834" max="3834" width="10.875" style="57" customWidth="1"/>
    <col min="3835" max="3835" width="5.125" style="57" customWidth="1"/>
    <col min="3836" max="3836" width="11" style="57" customWidth="1"/>
    <col min="3837" max="3837" width="4.625" style="57" customWidth="1"/>
    <col min="3838" max="3838" width="11.375" style="57" customWidth="1"/>
    <col min="3839" max="3839" width="5.25" style="57" customWidth="1"/>
    <col min="3840" max="3840" width="11.25" style="57" customWidth="1"/>
    <col min="3841" max="3841" width="5" style="57" customWidth="1"/>
    <col min="3842" max="3842" width="12.375" style="57" customWidth="1"/>
    <col min="3843" max="3843" width="6.625" style="57" customWidth="1"/>
    <col min="3844" max="3844" width="12.125" style="57" customWidth="1"/>
    <col min="3845" max="4086" width="9" style="57"/>
    <col min="4087" max="4087" width="2.5" style="57" customWidth="1"/>
    <col min="4088" max="4088" width="23.75" style="57" customWidth="1"/>
    <col min="4089" max="4089" width="4.375" style="57" customWidth="1"/>
    <col min="4090" max="4090" width="10.875" style="57" customWidth="1"/>
    <col min="4091" max="4091" width="5.125" style="57" customWidth="1"/>
    <col min="4092" max="4092" width="11" style="57" customWidth="1"/>
    <col min="4093" max="4093" width="4.625" style="57" customWidth="1"/>
    <col min="4094" max="4094" width="11.375" style="57" customWidth="1"/>
    <col min="4095" max="4095" width="5.25" style="57" customWidth="1"/>
    <col min="4096" max="4096" width="11.25" style="57" customWidth="1"/>
    <col min="4097" max="4097" width="5" style="57" customWidth="1"/>
    <col min="4098" max="4098" width="12.375" style="57" customWidth="1"/>
    <col min="4099" max="4099" width="6.625" style="57" customWidth="1"/>
    <col min="4100" max="4100" width="12.125" style="57" customWidth="1"/>
    <col min="4101" max="4342" width="9" style="57"/>
    <col min="4343" max="4343" width="2.5" style="57" customWidth="1"/>
    <col min="4344" max="4344" width="23.75" style="57" customWidth="1"/>
    <col min="4345" max="4345" width="4.375" style="57" customWidth="1"/>
    <col min="4346" max="4346" width="10.875" style="57" customWidth="1"/>
    <col min="4347" max="4347" width="5.125" style="57" customWidth="1"/>
    <col min="4348" max="4348" width="11" style="57" customWidth="1"/>
    <col min="4349" max="4349" width="4.625" style="57" customWidth="1"/>
    <col min="4350" max="4350" width="11.375" style="57" customWidth="1"/>
    <col min="4351" max="4351" width="5.25" style="57" customWidth="1"/>
    <col min="4352" max="4352" width="11.25" style="57" customWidth="1"/>
    <col min="4353" max="4353" width="5" style="57" customWidth="1"/>
    <col min="4354" max="4354" width="12.375" style="57" customWidth="1"/>
    <col min="4355" max="4355" width="6.625" style="57" customWidth="1"/>
    <col min="4356" max="4356" width="12.125" style="57" customWidth="1"/>
    <col min="4357" max="4598" width="9" style="57"/>
    <col min="4599" max="4599" width="2.5" style="57" customWidth="1"/>
    <col min="4600" max="4600" width="23.75" style="57" customWidth="1"/>
    <col min="4601" max="4601" width="4.375" style="57" customWidth="1"/>
    <col min="4602" max="4602" width="10.875" style="57" customWidth="1"/>
    <col min="4603" max="4603" width="5.125" style="57" customWidth="1"/>
    <col min="4604" max="4604" width="11" style="57" customWidth="1"/>
    <col min="4605" max="4605" width="4.625" style="57" customWidth="1"/>
    <col min="4606" max="4606" width="11.375" style="57" customWidth="1"/>
    <col min="4607" max="4607" width="5.25" style="57" customWidth="1"/>
    <col min="4608" max="4608" width="11.25" style="57" customWidth="1"/>
    <col min="4609" max="4609" width="5" style="57" customWidth="1"/>
    <col min="4610" max="4610" width="12.375" style="57" customWidth="1"/>
    <col min="4611" max="4611" width="6.625" style="57" customWidth="1"/>
    <col min="4612" max="4612" width="12.125" style="57" customWidth="1"/>
    <col min="4613" max="4854" width="9" style="57"/>
    <col min="4855" max="4855" width="2.5" style="57" customWidth="1"/>
    <col min="4856" max="4856" width="23.75" style="57" customWidth="1"/>
    <col min="4857" max="4857" width="4.375" style="57" customWidth="1"/>
    <col min="4858" max="4858" width="10.875" style="57" customWidth="1"/>
    <col min="4859" max="4859" width="5.125" style="57" customWidth="1"/>
    <col min="4860" max="4860" width="11" style="57" customWidth="1"/>
    <col min="4861" max="4861" width="4.625" style="57" customWidth="1"/>
    <col min="4862" max="4862" width="11.375" style="57" customWidth="1"/>
    <col min="4863" max="4863" width="5.25" style="57" customWidth="1"/>
    <col min="4864" max="4864" width="11.25" style="57" customWidth="1"/>
    <col min="4865" max="4865" width="5" style="57" customWidth="1"/>
    <col min="4866" max="4866" width="12.375" style="57" customWidth="1"/>
    <col min="4867" max="4867" width="6.625" style="57" customWidth="1"/>
    <col min="4868" max="4868" width="12.125" style="57" customWidth="1"/>
    <col min="4869" max="5110" width="9" style="57"/>
    <col min="5111" max="5111" width="2.5" style="57" customWidth="1"/>
    <col min="5112" max="5112" width="23.75" style="57" customWidth="1"/>
    <col min="5113" max="5113" width="4.375" style="57" customWidth="1"/>
    <col min="5114" max="5114" width="10.875" style="57" customWidth="1"/>
    <col min="5115" max="5115" width="5.125" style="57" customWidth="1"/>
    <col min="5116" max="5116" width="11" style="57" customWidth="1"/>
    <col min="5117" max="5117" width="4.625" style="57" customWidth="1"/>
    <col min="5118" max="5118" width="11.375" style="57" customWidth="1"/>
    <col min="5119" max="5119" width="5.25" style="57" customWidth="1"/>
    <col min="5120" max="5120" width="11.25" style="57" customWidth="1"/>
    <col min="5121" max="5121" width="5" style="57" customWidth="1"/>
    <col min="5122" max="5122" width="12.375" style="57" customWidth="1"/>
    <col min="5123" max="5123" width="6.625" style="57" customWidth="1"/>
    <col min="5124" max="5124" width="12.125" style="57" customWidth="1"/>
    <col min="5125" max="5366" width="9" style="57"/>
    <col min="5367" max="5367" width="2.5" style="57" customWidth="1"/>
    <col min="5368" max="5368" width="23.75" style="57" customWidth="1"/>
    <col min="5369" max="5369" width="4.375" style="57" customWidth="1"/>
    <col min="5370" max="5370" width="10.875" style="57" customWidth="1"/>
    <col min="5371" max="5371" width="5.125" style="57" customWidth="1"/>
    <col min="5372" max="5372" width="11" style="57" customWidth="1"/>
    <col min="5373" max="5373" width="4.625" style="57" customWidth="1"/>
    <col min="5374" max="5374" width="11.375" style="57" customWidth="1"/>
    <col min="5375" max="5375" width="5.25" style="57" customWidth="1"/>
    <col min="5376" max="5376" width="11.25" style="57" customWidth="1"/>
    <col min="5377" max="5377" width="5" style="57" customWidth="1"/>
    <col min="5378" max="5378" width="12.375" style="57" customWidth="1"/>
    <col min="5379" max="5379" width="6.625" style="57" customWidth="1"/>
    <col min="5380" max="5380" width="12.125" style="57" customWidth="1"/>
    <col min="5381" max="5622" width="9" style="57"/>
    <col min="5623" max="5623" width="2.5" style="57" customWidth="1"/>
    <col min="5624" max="5624" width="23.75" style="57" customWidth="1"/>
    <col min="5625" max="5625" width="4.375" style="57" customWidth="1"/>
    <col min="5626" max="5626" width="10.875" style="57" customWidth="1"/>
    <col min="5627" max="5627" width="5.125" style="57" customWidth="1"/>
    <col min="5628" max="5628" width="11" style="57" customWidth="1"/>
    <col min="5629" max="5629" width="4.625" style="57" customWidth="1"/>
    <col min="5630" max="5630" width="11.375" style="57" customWidth="1"/>
    <col min="5631" max="5631" width="5.25" style="57" customWidth="1"/>
    <col min="5632" max="5632" width="11.25" style="57" customWidth="1"/>
    <col min="5633" max="5633" width="5" style="57" customWidth="1"/>
    <col min="5634" max="5634" width="12.375" style="57" customWidth="1"/>
    <col min="5635" max="5635" width="6.625" style="57" customWidth="1"/>
    <col min="5636" max="5636" width="12.125" style="57" customWidth="1"/>
    <col min="5637" max="5878" width="9" style="57"/>
    <col min="5879" max="5879" width="2.5" style="57" customWidth="1"/>
    <col min="5880" max="5880" width="23.75" style="57" customWidth="1"/>
    <col min="5881" max="5881" width="4.375" style="57" customWidth="1"/>
    <col min="5882" max="5882" width="10.875" style="57" customWidth="1"/>
    <col min="5883" max="5883" width="5.125" style="57" customWidth="1"/>
    <col min="5884" max="5884" width="11" style="57" customWidth="1"/>
    <col min="5885" max="5885" width="4.625" style="57" customWidth="1"/>
    <col min="5886" max="5886" width="11.375" style="57" customWidth="1"/>
    <col min="5887" max="5887" width="5.25" style="57" customWidth="1"/>
    <col min="5888" max="5888" width="11.25" style="57" customWidth="1"/>
    <col min="5889" max="5889" width="5" style="57" customWidth="1"/>
    <col min="5890" max="5890" width="12.375" style="57" customWidth="1"/>
    <col min="5891" max="5891" width="6.625" style="57" customWidth="1"/>
    <col min="5892" max="5892" width="12.125" style="57" customWidth="1"/>
    <col min="5893" max="6134" width="9" style="57"/>
    <col min="6135" max="6135" width="2.5" style="57" customWidth="1"/>
    <col min="6136" max="6136" width="23.75" style="57" customWidth="1"/>
    <col min="6137" max="6137" width="4.375" style="57" customWidth="1"/>
    <col min="6138" max="6138" width="10.875" style="57" customWidth="1"/>
    <col min="6139" max="6139" width="5.125" style="57" customWidth="1"/>
    <col min="6140" max="6140" width="11" style="57" customWidth="1"/>
    <col min="6141" max="6141" width="4.625" style="57" customWidth="1"/>
    <col min="6142" max="6142" width="11.375" style="57" customWidth="1"/>
    <col min="6143" max="6143" width="5.25" style="57" customWidth="1"/>
    <col min="6144" max="6144" width="11.25" style="57" customWidth="1"/>
    <col min="6145" max="6145" width="5" style="57" customWidth="1"/>
    <col min="6146" max="6146" width="12.375" style="57" customWidth="1"/>
    <col min="6147" max="6147" width="6.625" style="57" customWidth="1"/>
    <col min="6148" max="6148" width="12.125" style="57" customWidth="1"/>
    <col min="6149" max="6390" width="9" style="57"/>
    <col min="6391" max="6391" width="2.5" style="57" customWidth="1"/>
    <col min="6392" max="6392" width="23.75" style="57" customWidth="1"/>
    <col min="6393" max="6393" width="4.375" style="57" customWidth="1"/>
    <col min="6394" max="6394" width="10.875" style="57" customWidth="1"/>
    <col min="6395" max="6395" width="5.125" style="57" customWidth="1"/>
    <col min="6396" max="6396" width="11" style="57" customWidth="1"/>
    <col min="6397" max="6397" width="4.625" style="57" customWidth="1"/>
    <col min="6398" max="6398" width="11.375" style="57" customWidth="1"/>
    <col min="6399" max="6399" width="5.25" style="57" customWidth="1"/>
    <col min="6400" max="6400" width="11.25" style="57" customWidth="1"/>
    <col min="6401" max="6401" width="5" style="57" customWidth="1"/>
    <col min="6402" max="6402" width="12.375" style="57" customWidth="1"/>
    <col min="6403" max="6403" width="6.625" style="57" customWidth="1"/>
    <col min="6404" max="6404" width="12.125" style="57" customWidth="1"/>
    <col min="6405" max="6646" width="9" style="57"/>
    <col min="6647" max="6647" width="2.5" style="57" customWidth="1"/>
    <col min="6648" max="6648" width="23.75" style="57" customWidth="1"/>
    <col min="6649" max="6649" width="4.375" style="57" customWidth="1"/>
    <col min="6650" max="6650" width="10.875" style="57" customWidth="1"/>
    <col min="6651" max="6651" width="5.125" style="57" customWidth="1"/>
    <col min="6652" max="6652" width="11" style="57" customWidth="1"/>
    <col min="6653" max="6653" width="4.625" style="57" customWidth="1"/>
    <col min="6654" max="6654" width="11.375" style="57" customWidth="1"/>
    <col min="6655" max="6655" width="5.25" style="57" customWidth="1"/>
    <col min="6656" max="6656" width="11.25" style="57" customWidth="1"/>
    <col min="6657" max="6657" width="5" style="57" customWidth="1"/>
    <col min="6658" max="6658" width="12.375" style="57" customWidth="1"/>
    <col min="6659" max="6659" width="6.625" style="57" customWidth="1"/>
    <col min="6660" max="6660" width="12.125" style="57" customWidth="1"/>
    <col min="6661" max="6902" width="9" style="57"/>
    <col min="6903" max="6903" width="2.5" style="57" customWidth="1"/>
    <col min="6904" max="6904" width="23.75" style="57" customWidth="1"/>
    <col min="6905" max="6905" width="4.375" style="57" customWidth="1"/>
    <col min="6906" max="6906" width="10.875" style="57" customWidth="1"/>
    <col min="6907" max="6907" width="5.125" style="57" customWidth="1"/>
    <col min="6908" max="6908" width="11" style="57" customWidth="1"/>
    <col min="6909" max="6909" width="4.625" style="57" customWidth="1"/>
    <col min="6910" max="6910" width="11.375" style="57" customWidth="1"/>
    <col min="6911" max="6911" width="5.25" style="57" customWidth="1"/>
    <col min="6912" max="6912" width="11.25" style="57" customWidth="1"/>
    <col min="6913" max="6913" width="5" style="57" customWidth="1"/>
    <col min="6914" max="6914" width="12.375" style="57" customWidth="1"/>
    <col min="6915" max="6915" width="6.625" style="57" customWidth="1"/>
    <col min="6916" max="6916" width="12.125" style="57" customWidth="1"/>
    <col min="6917" max="7158" width="9" style="57"/>
    <col min="7159" max="7159" width="2.5" style="57" customWidth="1"/>
    <col min="7160" max="7160" width="23.75" style="57" customWidth="1"/>
    <col min="7161" max="7161" width="4.375" style="57" customWidth="1"/>
    <col min="7162" max="7162" width="10.875" style="57" customWidth="1"/>
    <col min="7163" max="7163" width="5.125" style="57" customWidth="1"/>
    <col min="7164" max="7164" width="11" style="57" customWidth="1"/>
    <col min="7165" max="7165" width="4.625" style="57" customWidth="1"/>
    <col min="7166" max="7166" width="11.375" style="57" customWidth="1"/>
    <col min="7167" max="7167" width="5.25" style="57" customWidth="1"/>
    <col min="7168" max="7168" width="11.25" style="57" customWidth="1"/>
    <col min="7169" max="7169" width="5" style="57" customWidth="1"/>
    <col min="7170" max="7170" width="12.375" style="57" customWidth="1"/>
    <col min="7171" max="7171" width="6.625" style="57" customWidth="1"/>
    <col min="7172" max="7172" width="12.125" style="57" customWidth="1"/>
    <col min="7173" max="7414" width="9" style="57"/>
    <col min="7415" max="7415" width="2.5" style="57" customWidth="1"/>
    <col min="7416" max="7416" width="23.75" style="57" customWidth="1"/>
    <col min="7417" max="7417" width="4.375" style="57" customWidth="1"/>
    <col min="7418" max="7418" width="10.875" style="57" customWidth="1"/>
    <col min="7419" max="7419" width="5.125" style="57" customWidth="1"/>
    <col min="7420" max="7420" width="11" style="57" customWidth="1"/>
    <col min="7421" max="7421" width="4.625" style="57" customWidth="1"/>
    <col min="7422" max="7422" width="11.375" style="57" customWidth="1"/>
    <col min="7423" max="7423" width="5.25" style="57" customWidth="1"/>
    <col min="7424" max="7424" width="11.25" style="57" customWidth="1"/>
    <col min="7425" max="7425" width="5" style="57" customWidth="1"/>
    <col min="7426" max="7426" width="12.375" style="57" customWidth="1"/>
    <col min="7427" max="7427" width="6.625" style="57" customWidth="1"/>
    <col min="7428" max="7428" width="12.125" style="57" customWidth="1"/>
    <col min="7429" max="7670" width="9" style="57"/>
    <col min="7671" max="7671" width="2.5" style="57" customWidth="1"/>
    <col min="7672" max="7672" width="23.75" style="57" customWidth="1"/>
    <col min="7673" max="7673" width="4.375" style="57" customWidth="1"/>
    <col min="7674" max="7674" width="10.875" style="57" customWidth="1"/>
    <col min="7675" max="7675" width="5.125" style="57" customWidth="1"/>
    <col min="7676" max="7676" width="11" style="57" customWidth="1"/>
    <col min="7677" max="7677" width="4.625" style="57" customWidth="1"/>
    <col min="7678" max="7678" width="11.375" style="57" customWidth="1"/>
    <col min="7679" max="7679" width="5.25" style="57" customWidth="1"/>
    <col min="7680" max="7680" width="11.25" style="57" customWidth="1"/>
    <col min="7681" max="7681" width="5" style="57" customWidth="1"/>
    <col min="7682" max="7682" width="12.375" style="57" customWidth="1"/>
    <col min="7683" max="7683" width="6.625" style="57" customWidth="1"/>
    <col min="7684" max="7684" width="12.125" style="57" customWidth="1"/>
    <col min="7685" max="7926" width="9" style="57"/>
    <col min="7927" max="7927" width="2.5" style="57" customWidth="1"/>
    <col min="7928" max="7928" width="23.75" style="57" customWidth="1"/>
    <col min="7929" max="7929" width="4.375" style="57" customWidth="1"/>
    <col min="7930" max="7930" width="10.875" style="57" customWidth="1"/>
    <col min="7931" max="7931" width="5.125" style="57" customWidth="1"/>
    <col min="7932" max="7932" width="11" style="57" customWidth="1"/>
    <col min="7933" max="7933" width="4.625" style="57" customWidth="1"/>
    <col min="7934" max="7934" width="11.375" style="57" customWidth="1"/>
    <col min="7935" max="7935" width="5.25" style="57" customWidth="1"/>
    <col min="7936" max="7936" width="11.25" style="57" customWidth="1"/>
    <col min="7937" max="7937" width="5" style="57" customWidth="1"/>
    <col min="7938" max="7938" width="12.375" style="57" customWidth="1"/>
    <col min="7939" max="7939" width="6.625" style="57" customWidth="1"/>
    <col min="7940" max="7940" width="12.125" style="57" customWidth="1"/>
    <col min="7941" max="8182" width="9" style="57"/>
    <col min="8183" max="8183" width="2.5" style="57" customWidth="1"/>
    <col min="8184" max="8184" width="23.75" style="57" customWidth="1"/>
    <col min="8185" max="8185" width="4.375" style="57" customWidth="1"/>
    <col min="8186" max="8186" width="10.875" style="57" customWidth="1"/>
    <col min="8187" max="8187" width="5.125" style="57" customWidth="1"/>
    <col min="8188" max="8188" width="11" style="57" customWidth="1"/>
    <col min="8189" max="8189" width="4.625" style="57" customWidth="1"/>
    <col min="8190" max="8190" width="11.375" style="57" customWidth="1"/>
    <col min="8191" max="8191" width="5.25" style="57" customWidth="1"/>
    <col min="8192" max="8192" width="11.25" style="57" customWidth="1"/>
    <col min="8193" max="8193" width="5" style="57" customWidth="1"/>
    <col min="8194" max="8194" width="12.375" style="57" customWidth="1"/>
    <col min="8195" max="8195" width="6.625" style="57" customWidth="1"/>
    <col min="8196" max="8196" width="12.125" style="57" customWidth="1"/>
    <col min="8197" max="8438" width="9" style="57"/>
    <col min="8439" max="8439" width="2.5" style="57" customWidth="1"/>
    <col min="8440" max="8440" width="23.75" style="57" customWidth="1"/>
    <col min="8441" max="8441" width="4.375" style="57" customWidth="1"/>
    <col min="8442" max="8442" width="10.875" style="57" customWidth="1"/>
    <col min="8443" max="8443" width="5.125" style="57" customWidth="1"/>
    <col min="8444" max="8444" width="11" style="57" customWidth="1"/>
    <col min="8445" max="8445" width="4.625" style="57" customWidth="1"/>
    <col min="8446" max="8446" width="11.375" style="57" customWidth="1"/>
    <col min="8447" max="8447" width="5.25" style="57" customWidth="1"/>
    <col min="8448" max="8448" width="11.25" style="57" customWidth="1"/>
    <col min="8449" max="8449" width="5" style="57" customWidth="1"/>
    <col min="8450" max="8450" width="12.375" style="57" customWidth="1"/>
    <col min="8451" max="8451" width="6.625" style="57" customWidth="1"/>
    <col min="8452" max="8452" width="12.125" style="57" customWidth="1"/>
    <col min="8453" max="8694" width="9" style="57"/>
    <col min="8695" max="8695" width="2.5" style="57" customWidth="1"/>
    <col min="8696" max="8696" width="23.75" style="57" customWidth="1"/>
    <col min="8697" max="8697" width="4.375" style="57" customWidth="1"/>
    <col min="8698" max="8698" width="10.875" style="57" customWidth="1"/>
    <col min="8699" max="8699" width="5.125" style="57" customWidth="1"/>
    <col min="8700" max="8700" width="11" style="57" customWidth="1"/>
    <col min="8701" max="8701" width="4.625" style="57" customWidth="1"/>
    <col min="8702" max="8702" width="11.375" style="57" customWidth="1"/>
    <col min="8703" max="8703" width="5.25" style="57" customWidth="1"/>
    <col min="8704" max="8704" width="11.25" style="57" customWidth="1"/>
    <col min="8705" max="8705" width="5" style="57" customWidth="1"/>
    <col min="8706" max="8706" width="12.375" style="57" customWidth="1"/>
    <col min="8707" max="8707" width="6.625" style="57" customWidth="1"/>
    <col min="8708" max="8708" width="12.125" style="57" customWidth="1"/>
    <col min="8709" max="8950" width="9" style="57"/>
    <col min="8951" max="8951" width="2.5" style="57" customWidth="1"/>
    <col min="8952" max="8952" width="23.75" style="57" customWidth="1"/>
    <col min="8953" max="8953" width="4.375" style="57" customWidth="1"/>
    <col min="8954" max="8954" width="10.875" style="57" customWidth="1"/>
    <col min="8955" max="8955" width="5.125" style="57" customWidth="1"/>
    <col min="8956" max="8956" width="11" style="57" customWidth="1"/>
    <col min="8957" max="8957" width="4.625" style="57" customWidth="1"/>
    <col min="8958" max="8958" width="11.375" style="57" customWidth="1"/>
    <col min="8959" max="8959" width="5.25" style="57" customWidth="1"/>
    <col min="8960" max="8960" width="11.25" style="57" customWidth="1"/>
    <col min="8961" max="8961" width="5" style="57" customWidth="1"/>
    <col min="8962" max="8962" width="12.375" style="57" customWidth="1"/>
    <col min="8963" max="8963" width="6.625" style="57" customWidth="1"/>
    <col min="8964" max="8964" width="12.125" style="57" customWidth="1"/>
    <col min="8965" max="9206" width="9" style="57"/>
    <col min="9207" max="9207" width="2.5" style="57" customWidth="1"/>
    <col min="9208" max="9208" width="23.75" style="57" customWidth="1"/>
    <col min="9209" max="9209" width="4.375" style="57" customWidth="1"/>
    <col min="9210" max="9210" width="10.875" style="57" customWidth="1"/>
    <col min="9211" max="9211" width="5.125" style="57" customWidth="1"/>
    <col min="9212" max="9212" width="11" style="57" customWidth="1"/>
    <col min="9213" max="9213" width="4.625" style="57" customWidth="1"/>
    <col min="9214" max="9214" width="11.375" style="57" customWidth="1"/>
    <col min="9215" max="9215" width="5.25" style="57" customWidth="1"/>
    <col min="9216" max="9216" width="11.25" style="57" customWidth="1"/>
    <col min="9217" max="9217" width="5" style="57" customWidth="1"/>
    <col min="9218" max="9218" width="12.375" style="57" customWidth="1"/>
    <col min="9219" max="9219" width="6.625" style="57" customWidth="1"/>
    <col min="9220" max="9220" width="12.125" style="57" customWidth="1"/>
    <col min="9221" max="9462" width="9" style="57"/>
    <col min="9463" max="9463" width="2.5" style="57" customWidth="1"/>
    <col min="9464" max="9464" width="23.75" style="57" customWidth="1"/>
    <col min="9465" max="9465" width="4.375" style="57" customWidth="1"/>
    <col min="9466" max="9466" width="10.875" style="57" customWidth="1"/>
    <col min="9467" max="9467" width="5.125" style="57" customWidth="1"/>
    <col min="9468" max="9468" width="11" style="57" customWidth="1"/>
    <col min="9469" max="9469" width="4.625" style="57" customWidth="1"/>
    <col min="9470" max="9470" width="11.375" style="57" customWidth="1"/>
    <col min="9471" max="9471" width="5.25" style="57" customWidth="1"/>
    <col min="9472" max="9472" width="11.25" style="57" customWidth="1"/>
    <col min="9473" max="9473" width="5" style="57" customWidth="1"/>
    <col min="9474" max="9474" width="12.375" style="57" customWidth="1"/>
    <col min="9475" max="9475" width="6.625" style="57" customWidth="1"/>
    <col min="9476" max="9476" width="12.125" style="57" customWidth="1"/>
    <col min="9477" max="9718" width="9" style="57"/>
    <col min="9719" max="9719" width="2.5" style="57" customWidth="1"/>
    <col min="9720" max="9720" width="23.75" style="57" customWidth="1"/>
    <col min="9721" max="9721" width="4.375" style="57" customWidth="1"/>
    <col min="9722" max="9722" width="10.875" style="57" customWidth="1"/>
    <col min="9723" max="9723" width="5.125" style="57" customWidth="1"/>
    <col min="9724" max="9724" width="11" style="57" customWidth="1"/>
    <col min="9725" max="9725" width="4.625" style="57" customWidth="1"/>
    <col min="9726" max="9726" width="11.375" style="57" customWidth="1"/>
    <col min="9727" max="9727" width="5.25" style="57" customWidth="1"/>
    <col min="9728" max="9728" width="11.25" style="57" customWidth="1"/>
    <col min="9729" max="9729" width="5" style="57" customWidth="1"/>
    <col min="9730" max="9730" width="12.375" style="57" customWidth="1"/>
    <col min="9731" max="9731" width="6.625" style="57" customWidth="1"/>
    <col min="9732" max="9732" width="12.125" style="57" customWidth="1"/>
    <col min="9733" max="9974" width="9" style="57"/>
    <col min="9975" max="9975" width="2.5" style="57" customWidth="1"/>
    <col min="9976" max="9976" width="23.75" style="57" customWidth="1"/>
    <col min="9977" max="9977" width="4.375" style="57" customWidth="1"/>
    <col min="9978" max="9978" width="10.875" style="57" customWidth="1"/>
    <col min="9979" max="9979" width="5.125" style="57" customWidth="1"/>
    <col min="9980" max="9980" width="11" style="57" customWidth="1"/>
    <col min="9981" max="9981" width="4.625" style="57" customWidth="1"/>
    <col min="9982" max="9982" width="11.375" style="57" customWidth="1"/>
    <col min="9983" max="9983" width="5.25" style="57" customWidth="1"/>
    <col min="9984" max="9984" width="11.25" style="57" customWidth="1"/>
    <col min="9985" max="9985" width="5" style="57" customWidth="1"/>
    <col min="9986" max="9986" width="12.375" style="57" customWidth="1"/>
    <col min="9987" max="9987" width="6.625" style="57" customWidth="1"/>
    <col min="9988" max="9988" width="12.125" style="57" customWidth="1"/>
    <col min="9989" max="10230" width="9" style="57"/>
    <col min="10231" max="10231" width="2.5" style="57" customWidth="1"/>
    <col min="10232" max="10232" width="23.75" style="57" customWidth="1"/>
    <col min="10233" max="10233" width="4.375" style="57" customWidth="1"/>
    <col min="10234" max="10234" width="10.875" style="57" customWidth="1"/>
    <col min="10235" max="10235" width="5.125" style="57" customWidth="1"/>
    <col min="10236" max="10236" width="11" style="57" customWidth="1"/>
    <col min="10237" max="10237" width="4.625" style="57" customWidth="1"/>
    <col min="10238" max="10238" width="11.375" style="57" customWidth="1"/>
    <col min="10239" max="10239" width="5.25" style="57" customWidth="1"/>
    <col min="10240" max="10240" width="11.25" style="57" customWidth="1"/>
    <col min="10241" max="10241" width="5" style="57" customWidth="1"/>
    <col min="10242" max="10242" width="12.375" style="57" customWidth="1"/>
    <col min="10243" max="10243" width="6.625" style="57" customWidth="1"/>
    <col min="10244" max="10244" width="12.125" style="57" customWidth="1"/>
    <col min="10245" max="10486" width="9" style="57"/>
    <col min="10487" max="10487" width="2.5" style="57" customWidth="1"/>
    <col min="10488" max="10488" width="23.75" style="57" customWidth="1"/>
    <col min="10489" max="10489" width="4.375" style="57" customWidth="1"/>
    <col min="10490" max="10490" width="10.875" style="57" customWidth="1"/>
    <col min="10491" max="10491" width="5.125" style="57" customWidth="1"/>
    <col min="10492" max="10492" width="11" style="57" customWidth="1"/>
    <col min="10493" max="10493" width="4.625" style="57" customWidth="1"/>
    <col min="10494" max="10494" width="11.375" style="57" customWidth="1"/>
    <col min="10495" max="10495" width="5.25" style="57" customWidth="1"/>
    <col min="10496" max="10496" width="11.25" style="57" customWidth="1"/>
    <col min="10497" max="10497" width="5" style="57" customWidth="1"/>
    <col min="10498" max="10498" width="12.375" style="57" customWidth="1"/>
    <col min="10499" max="10499" width="6.625" style="57" customWidth="1"/>
    <col min="10500" max="10500" width="12.125" style="57" customWidth="1"/>
    <col min="10501" max="10742" width="9" style="57"/>
    <col min="10743" max="10743" width="2.5" style="57" customWidth="1"/>
    <col min="10744" max="10744" width="23.75" style="57" customWidth="1"/>
    <col min="10745" max="10745" width="4.375" style="57" customWidth="1"/>
    <col min="10746" max="10746" width="10.875" style="57" customWidth="1"/>
    <col min="10747" max="10747" width="5.125" style="57" customWidth="1"/>
    <col min="10748" max="10748" width="11" style="57" customWidth="1"/>
    <col min="10749" max="10749" width="4.625" style="57" customWidth="1"/>
    <col min="10750" max="10750" width="11.375" style="57" customWidth="1"/>
    <col min="10751" max="10751" width="5.25" style="57" customWidth="1"/>
    <col min="10752" max="10752" width="11.25" style="57" customWidth="1"/>
    <col min="10753" max="10753" width="5" style="57" customWidth="1"/>
    <col min="10754" max="10754" width="12.375" style="57" customWidth="1"/>
    <col min="10755" max="10755" width="6.625" style="57" customWidth="1"/>
    <col min="10756" max="10756" width="12.125" style="57" customWidth="1"/>
    <col min="10757" max="10998" width="9" style="57"/>
    <col min="10999" max="10999" width="2.5" style="57" customWidth="1"/>
    <col min="11000" max="11000" width="23.75" style="57" customWidth="1"/>
    <col min="11001" max="11001" width="4.375" style="57" customWidth="1"/>
    <col min="11002" max="11002" width="10.875" style="57" customWidth="1"/>
    <col min="11003" max="11003" width="5.125" style="57" customWidth="1"/>
    <col min="11004" max="11004" width="11" style="57" customWidth="1"/>
    <col min="11005" max="11005" width="4.625" style="57" customWidth="1"/>
    <col min="11006" max="11006" width="11.375" style="57" customWidth="1"/>
    <col min="11007" max="11007" width="5.25" style="57" customWidth="1"/>
    <col min="11008" max="11008" width="11.25" style="57" customWidth="1"/>
    <col min="11009" max="11009" width="5" style="57" customWidth="1"/>
    <col min="11010" max="11010" width="12.375" style="57" customWidth="1"/>
    <col min="11011" max="11011" width="6.625" style="57" customWidth="1"/>
    <col min="11012" max="11012" width="12.125" style="57" customWidth="1"/>
    <col min="11013" max="11254" width="9" style="57"/>
    <col min="11255" max="11255" width="2.5" style="57" customWidth="1"/>
    <col min="11256" max="11256" width="23.75" style="57" customWidth="1"/>
    <col min="11257" max="11257" width="4.375" style="57" customWidth="1"/>
    <col min="11258" max="11258" width="10.875" style="57" customWidth="1"/>
    <col min="11259" max="11259" width="5.125" style="57" customWidth="1"/>
    <col min="11260" max="11260" width="11" style="57" customWidth="1"/>
    <col min="11261" max="11261" width="4.625" style="57" customWidth="1"/>
    <col min="11262" max="11262" width="11.375" style="57" customWidth="1"/>
    <col min="11263" max="11263" width="5.25" style="57" customWidth="1"/>
    <col min="11264" max="11264" width="11.25" style="57" customWidth="1"/>
    <col min="11265" max="11265" width="5" style="57" customWidth="1"/>
    <col min="11266" max="11266" width="12.375" style="57" customWidth="1"/>
    <col min="11267" max="11267" width="6.625" style="57" customWidth="1"/>
    <col min="11268" max="11268" width="12.125" style="57" customWidth="1"/>
    <col min="11269" max="11510" width="9" style="57"/>
    <col min="11511" max="11511" width="2.5" style="57" customWidth="1"/>
    <col min="11512" max="11512" width="23.75" style="57" customWidth="1"/>
    <col min="11513" max="11513" width="4.375" style="57" customWidth="1"/>
    <col min="11514" max="11514" width="10.875" style="57" customWidth="1"/>
    <col min="11515" max="11515" width="5.125" style="57" customWidth="1"/>
    <col min="11516" max="11516" width="11" style="57" customWidth="1"/>
    <col min="11517" max="11517" width="4.625" style="57" customWidth="1"/>
    <col min="11518" max="11518" width="11.375" style="57" customWidth="1"/>
    <col min="11519" max="11519" width="5.25" style="57" customWidth="1"/>
    <col min="11520" max="11520" width="11.25" style="57" customWidth="1"/>
    <col min="11521" max="11521" width="5" style="57" customWidth="1"/>
    <col min="11522" max="11522" width="12.375" style="57" customWidth="1"/>
    <col min="11523" max="11523" width="6.625" style="57" customWidth="1"/>
    <col min="11524" max="11524" width="12.125" style="57" customWidth="1"/>
    <col min="11525" max="11766" width="9" style="57"/>
    <col min="11767" max="11767" width="2.5" style="57" customWidth="1"/>
    <col min="11768" max="11768" width="23.75" style="57" customWidth="1"/>
    <col min="11769" max="11769" width="4.375" style="57" customWidth="1"/>
    <col min="11770" max="11770" width="10.875" style="57" customWidth="1"/>
    <col min="11771" max="11771" width="5.125" style="57" customWidth="1"/>
    <col min="11772" max="11772" width="11" style="57" customWidth="1"/>
    <col min="11773" max="11773" width="4.625" style="57" customWidth="1"/>
    <col min="11774" max="11774" width="11.375" style="57" customWidth="1"/>
    <col min="11775" max="11775" width="5.25" style="57" customWidth="1"/>
    <col min="11776" max="11776" width="11.25" style="57" customWidth="1"/>
    <col min="11777" max="11777" width="5" style="57" customWidth="1"/>
    <col min="11778" max="11778" width="12.375" style="57" customWidth="1"/>
    <col min="11779" max="11779" width="6.625" style="57" customWidth="1"/>
    <col min="11780" max="11780" width="12.125" style="57" customWidth="1"/>
    <col min="11781" max="12022" width="9" style="57"/>
    <col min="12023" max="12023" width="2.5" style="57" customWidth="1"/>
    <col min="12024" max="12024" width="23.75" style="57" customWidth="1"/>
    <col min="12025" max="12025" width="4.375" style="57" customWidth="1"/>
    <col min="12026" max="12026" width="10.875" style="57" customWidth="1"/>
    <col min="12027" max="12027" width="5.125" style="57" customWidth="1"/>
    <col min="12028" max="12028" width="11" style="57" customWidth="1"/>
    <col min="12029" max="12029" width="4.625" style="57" customWidth="1"/>
    <col min="12030" max="12030" width="11.375" style="57" customWidth="1"/>
    <col min="12031" max="12031" width="5.25" style="57" customWidth="1"/>
    <col min="12032" max="12032" width="11.25" style="57" customWidth="1"/>
    <col min="12033" max="12033" width="5" style="57" customWidth="1"/>
    <col min="12034" max="12034" width="12.375" style="57" customWidth="1"/>
    <col min="12035" max="12035" width="6.625" style="57" customWidth="1"/>
    <col min="12036" max="12036" width="12.125" style="57" customWidth="1"/>
    <col min="12037" max="12278" width="9" style="57"/>
    <col min="12279" max="12279" width="2.5" style="57" customWidth="1"/>
    <col min="12280" max="12280" width="23.75" style="57" customWidth="1"/>
    <col min="12281" max="12281" width="4.375" style="57" customWidth="1"/>
    <col min="12282" max="12282" width="10.875" style="57" customWidth="1"/>
    <col min="12283" max="12283" width="5.125" style="57" customWidth="1"/>
    <col min="12284" max="12284" width="11" style="57" customWidth="1"/>
    <col min="12285" max="12285" width="4.625" style="57" customWidth="1"/>
    <col min="12286" max="12286" width="11.375" style="57" customWidth="1"/>
    <col min="12287" max="12287" width="5.25" style="57" customWidth="1"/>
    <col min="12288" max="12288" width="11.25" style="57" customWidth="1"/>
    <col min="12289" max="12289" width="5" style="57" customWidth="1"/>
    <col min="12290" max="12290" width="12.375" style="57" customWidth="1"/>
    <col min="12291" max="12291" width="6.625" style="57" customWidth="1"/>
    <col min="12292" max="12292" width="12.125" style="57" customWidth="1"/>
    <col min="12293" max="12534" width="9" style="57"/>
    <col min="12535" max="12535" width="2.5" style="57" customWidth="1"/>
    <col min="12536" max="12536" width="23.75" style="57" customWidth="1"/>
    <col min="12537" max="12537" width="4.375" style="57" customWidth="1"/>
    <col min="12538" max="12538" width="10.875" style="57" customWidth="1"/>
    <col min="12539" max="12539" width="5.125" style="57" customWidth="1"/>
    <col min="12540" max="12540" width="11" style="57" customWidth="1"/>
    <col min="12541" max="12541" width="4.625" style="57" customWidth="1"/>
    <col min="12542" max="12542" width="11.375" style="57" customWidth="1"/>
    <col min="12543" max="12543" width="5.25" style="57" customWidth="1"/>
    <col min="12544" max="12544" width="11.25" style="57" customWidth="1"/>
    <col min="12545" max="12545" width="5" style="57" customWidth="1"/>
    <col min="12546" max="12546" width="12.375" style="57" customWidth="1"/>
    <col min="12547" max="12547" width="6.625" style="57" customWidth="1"/>
    <col min="12548" max="12548" width="12.125" style="57" customWidth="1"/>
    <col min="12549" max="12790" width="9" style="57"/>
    <col min="12791" max="12791" width="2.5" style="57" customWidth="1"/>
    <col min="12792" max="12792" width="23.75" style="57" customWidth="1"/>
    <col min="12793" max="12793" width="4.375" style="57" customWidth="1"/>
    <col min="12794" max="12794" width="10.875" style="57" customWidth="1"/>
    <col min="12795" max="12795" width="5.125" style="57" customWidth="1"/>
    <col min="12796" max="12796" width="11" style="57" customWidth="1"/>
    <col min="12797" max="12797" width="4.625" style="57" customWidth="1"/>
    <col min="12798" max="12798" width="11.375" style="57" customWidth="1"/>
    <col min="12799" max="12799" width="5.25" style="57" customWidth="1"/>
    <col min="12800" max="12800" width="11.25" style="57" customWidth="1"/>
    <col min="12801" max="12801" width="5" style="57" customWidth="1"/>
    <col min="12802" max="12802" width="12.375" style="57" customWidth="1"/>
    <col min="12803" max="12803" width="6.625" style="57" customWidth="1"/>
    <col min="12804" max="12804" width="12.125" style="57" customWidth="1"/>
    <col min="12805" max="13046" width="9" style="57"/>
    <col min="13047" max="13047" width="2.5" style="57" customWidth="1"/>
    <col min="13048" max="13048" width="23.75" style="57" customWidth="1"/>
    <col min="13049" max="13049" width="4.375" style="57" customWidth="1"/>
    <col min="13050" max="13050" width="10.875" style="57" customWidth="1"/>
    <col min="13051" max="13051" width="5.125" style="57" customWidth="1"/>
    <col min="13052" max="13052" width="11" style="57" customWidth="1"/>
    <col min="13053" max="13053" width="4.625" style="57" customWidth="1"/>
    <col min="13054" max="13054" width="11.375" style="57" customWidth="1"/>
    <col min="13055" max="13055" width="5.25" style="57" customWidth="1"/>
    <col min="13056" max="13056" width="11.25" style="57" customWidth="1"/>
    <col min="13057" max="13057" width="5" style="57" customWidth="1"/>
    <col min="13058" max="13058" width="12.375" style="57" customWidth="1"/>
    <col min="13059" max="13059" width="6.625" style="57" customWidth="1"/>
    <col min="13060" max="13060" width="12.125" style="57" customWidth="1"/>
    <col min="13061" max="13302" width="9" style="57"/>
    <col min="13303" max="13303" width="2.5" style="57" customWidth="1"/>
    <col min="13304" max="13304" width="23.75" style="57" customWidth="1"/>
    <col min="13305" max="13305" width="4.375" style="57" customWidth="1"/>
    <col min="13306" max="13306" width="10.875" style="57" customWidth="1"/>
    <col min="13307" max="13307" width="5.125" style="57" customWidth="1"/>
    <col min="13308" max="13308" width="11" style="57" customWidth="1"/>
    <col min="13309" max="13309" width="4.625" style="57" customWidth="1"/>
    <col min="13310" max="13310" width="11.375" style="57" customWidth="1"/>
    <col min="13311" max="13311" width="5.25" style="57" customWidth="1"/>
    <col min="13312" max="13312" width="11.25" style="57" customWidth="1"/>
    <col min="13313" max="13313" width="5" style="57" customWidth="1"/>
    <col min="13314" max="13314" width="12.375" style="57" customWidth="1"/>
    <col min="13315" max="13315" width="6.625" style="57" customWidth="1"/>
    <col min="13316" max="13316" width="12.125" style="57" customWidth="1"/>
    <col min="13317" max="13558" width="9" style="57"/>
    <col min="13559" max="13559" width="2.5" style="57" customWidth="1"/>
    <col min="13560" max="13560" width="23.75" style="57" customWidth="1"/>
    <col min="13561" max="13561" width="4.375" style="57" customWidth="1"/>
    <col min="13562" max="13562" width="10.875" style="57" customWidth="1"/>
    <col min="13563" max="13563" width="5.125" style="57" customWidth="1"/>
    <col min="13564" max="13564" width="11" style="57" customWidth="1"/>
    <col min="13565" max="13565" width="4.625" style="57" customWidth="1"/>
    <col min="13566" max="13566" width="11.375" style="57" customWidth="1"/>
    <col min="13567" max="13567" width="5.25" style="57" customWidth="1"/>
    <col min="13568" max="13568" width="11.25" style="57" customWidth="1"/>
    <col min="13569" max="13569" width="5" style="57" customWidth="1"/>
    <col min="13570" max="13570" width="12.375" style="57" customWidth="1"/>
    <col min="13571" max="13571" width="6.625" style="57" customWidth="1"/>
    <col min="13572" max="13572" width="12.125" style="57" customWidth="1"/>
    <col min="13573" max="13814" width="9" style="57"/>
    <col min="13815" max="13815" width="2.5" style="57" customWidth="1"/>
    <col min="13816" max="13816" width="23.75" style="57" customWidth="1"/>
    <col min="13817" max="13817" width="4.375" style="57" customWidth="1"/>
    <col min="13818" max="13818" width="10.875" style="57" customWidth="1"/>
    <col min="13819" max="13819" width="5.125" style="57" customWidth="1"/>
    <col min="13820" max="13820" width="11" style="57" customWidth="1"/>
    <col min="13821" max="13821" width="4.625" style="57" customWidth="1"/>
    <col min="13822" max="13822" width="11.375" style="57" customWidth="1"/>
    <col min="13823" max="13823" width="5.25" style="57" customWidth="1"/>
    <col min="13824" max="13824" width="11.25" style="57" customWidth="1"/>
    <col min="13825" max="13825" width="5" style="57" customWidth="1"/>
    <col min="13826" max="13826" width="12.375" style="57" customWidth="1"/>
    <col min="13827" max="13827" width="6.625" style="57" customWidth="1"/>
    <col min="13828" max="13828" width="12.125" style="57" customWidth="1"/>
    <col min="13829" max="14070" width="9" style="57"/>
    <col min="14071" max="14071" width="2.5" style="57" customWidth="1"/>
    <col min="14072" max="14072" width="23.75" style="57" customWidth="1"/>
    <col min="14073" max="14073" width="4.375" style="57" customWidth="1"/>
    <col min="14074" max="14074" width="10.875" style="57" customWidth="1"/>
    <col min="14075" max="14075" width="5.125" style="57" customWidth="1"/>
    <col min="14076" max="14076" width="11" style="57" customWidth="1"/>
    <col min="14077" max="14077" width="4.625" style="57" customWidth="1"/>
    <col min="14078" max="14078" width="11.375" style="57" customWidth="1"/>
    <col min="14079" max="14079" width="5.25" style="57" customWidth="1"/>
    <col min="14080" max="14080" width="11.25" style="57" customWidth="1"/>
    <col min="14081" max="14081" width="5" style="57" customWidth="1"/>
    <col min="14082" max="14082" width="12.375" style="57" customWidth="1"/>
    <col min="14083" max="14083" width="6.625" style="57" customWidth="1"/>
    <col min="14084" max="14084" width="12.125" style="57" customWidth="1"/>
    <col min="14085" max="14326" width="9" style="57"/>
    <col min="14327" max="14327" width="2.5" style="57" customWidth="1"/>
    <col min="14328" max="14328" width="23.75" style="57" customWidth="1"/>
    <col min="14329" max="14329" width="4.375" style="57" customWidth="1"/>
    <col min="14330" max="14330" width="10.875" style="57" customWidth="1"/>
    <col min="14331" max="14331" width="5.125" style="57" customWidth="1"/>
    <col min="14332" max="14332" width="11" style="57" customWidth="1"/>
    <col min="14333" max="14333" width="4.625" style="57" customWidth="1"/>
    <col min="14334" max="14334" width="11.375" style="57" customWidth="1"/>
    <col min="14335" max="14335" width="5.25" style="57" customWidth="1"/>
    <col min="14336" max="14336" width="11.25" style="57" customWidth="1"/>
    <col min="14337" max="14337" width="5" style="57" customWidth="1"/>
    <col min="14338" max="14338" width="12.375" style="57" customWidth="1"/>
    <col min="14339" max="14339" width="6.625" style="57" customWidth="1"/>
    <col min="14340" max="14340" width="12.125" style="57" customWidth="1"/>
    <col min="14341" max="14582" width="9" style="57"/>
    <col min="14583" max="14583" width="2.5" style="57" customWidth="1"/>
    <col min="14584" max="14584" width="23.75" style="57" customWidth="1"/>
    <col min="14585" max="14585" width="4.375" style="57" customWidth="1"/>
    <col min="14586" max="14586" width="10.875" style="57" customWidth="1"/>
    <col min="14587" max="14587" width="5.125" style="57" customWidth="1"/>
    <col min="14588" max="14588" width="11" style="57" customWidth="1"/>
    <col min="14589" max="14589" width="4.625" style="57" customWidth="1"/>
    <col min="14590" max="14590" width="11.375" style="57" customWidth="1"/>
    <col min="14591" max="14591" width="5.25" style="57" customWidth="1"/>
    <col min="14592" max="14592" width="11.25" style="57" customWidth="1"/>
    <col min="14593" max="14593" width="5" style="57" customWidth="1"/>
    <col min="14594" max="14594" width="12.375" style="57" customWidth="1"/>
    <col min="14595" max="14595" width="6.625" style="57" customWidth="1"/>
    <col min="14596" max="14596" width="12.125" style="57" customWidth="1"/>
    <col min="14597" max="14838" width="9" style="57"/>
    <col min="14839" max="14839" width="2.5" style="57" customWidth="1"/>
    <col min="14840" max="14840" width="23.75" style="57" customWidth="1"/>
    <col min="14841" max="14841" width="4.375" style="57" customWidth="1"/>
    <col min="14842" max="14842" width="10.875" style="57" customWidth="1"/>
    <col min="14843" max="14843" width="5.125" style="57" customWidth="1"/>
    <col min="14844" max="14844" width="11" style="57" customWidth="1"/>
    <col min="14845" max="14845" width="4.625" style="57" customWidth="1"/>
    <col min="14846" max="14846" width="11.375" style="57" customWidth="1"/>
    <col min="14847" max="14847" width="5.25" style="57" customWidth="1"/>
    <col min="14848" max="14848" width="11.25" style="57" customWidth="1"/>
    <col min="14849" max="14849" width="5" style="57" customWidth="1"/>
    <col min="14850" max="14850" width="12.375" style="57" customWidth="1"/>
    <col min="14851" max="14851" width="6.625" style="57" customWidth="1"/>
    <col min="14852" max="14852" width="12.125" style="57" customWidth="1"/>
    <col min="14853" max="15094" width="9" style="57"/>
    <col min="15095" max="15095" width="2.5" style="57" customWidth="1"/>
    <col min="15096" max="15096" width="23.75" style="57" customWidth="1"/>
    <col min="15097" max="15097" width="4.375" style="57" customWidth="1"/>
    <col min="15098" max="15098" width="10.875" style="57" customWidth="1"/>
    <col min="15099" max="15099" width="5.125" style="57" customWidth="1"/>
    <col min="15100" max="15100" width="11" style="57" customWidth="1"/>
    <col min="15101" max="15101" width="4.625" style="57" customWidth="1"/>
    <col min="15102" max="15102" width="11.375" style="57" customWidth="1"/>
    <col min="15103" max="15103" width="5.25" style="57" customWidth="1"/>
    <col min="15104" max="15104" width="11.25" style="57" customWidth="1"/>
    <col min="15105" max="15105" width="5" style="57" customWidth="1"/>
    <col min="15106" max="15106" width="12.375" style="57" customWidth="1"/>
    <col min="15107" max="15107" width="6.625" style="57" customWidth="1"/>
    <col min="15108" max="15108" width="12.125" style="57" customWidth="1"/>
    <col min="15109" max="15350" width="9" style="57"/>
    <col min="15351" max="15351" width="2.5" style="57" customWidth="1"/>
    <col min="15352" max="15352" width="23.75" style="57" customWidth="1"/>
    <col min="15353" max="15353" width="4.375" style="57" customWidth="1"/>
    <col min="15354" max="15354" width="10.875" style="57" customWidth="1"/>
    <col min="15355" max="15355" width="5.125" style="57" customWidth="1"/>
    <col min="15356" max="15356" width="11" style="57" customWidth="1"/>
    <col min="15357" max="15357" width="4.625" style="57" customWidth="1"/>
    <col min="15358" max="15358" width="11.375" style="57" customWidth="1"/>
    <col min="15359" max="15359" width="5.25" style="57" customWidth="1"/>
    <col min="15360" max="15360" width="11.25" style="57" customWidth="1"/>
    <col min="15361" max="15361" width="5" style="57" customWidth="1"/>
    <col min="15362" max="15362" width="12.375" style="57" customWidth="1"/>
    <col min="15363" max="15363" width="6.625" style="57" customWidth="1"/>
    <col min="15364" max="15364" width="12.125" style="57" customWidth="1"/>
    <col min="15365" max="15606" width="9" style="57"/>
    <col min="15607" max="15607" width="2.5" style="57" customWidth="1"/>
    <col min="15608" max="15608" width="23.75" style="57" customWidth="1"/>
    <col min="15609" max="15609" width="4.375" style="57" customWidth="1"/>
    <col min="15610" max="15610" width="10.875" style="57" customWidth="1"/>
    <col min="15611" max="15611" width="5.125" style="57" customWidth="1"/>
    <col min="15612" max="15612" width="11" style="57" customWidth="1"/>
    <col min="15613" max="15613" width="4.625" style="57" customWidth="1"/>
    <col min="15614" max="15614" width="11.375" style="57" customWidth="1"/>
    <col min="15615" max="15615" width="5.25" style="57" customWidth="1"/>
    <col min="15616" max="15616" width="11.25" style="57" customWidth="1"/>
    <col min="15617" max="15617" width="5" style="57" customWidth="1"/>
    <col min="15618" max="15618" width="12.375" style="57" customWidth="1"/>
    <col min="15619" max="15619" width="6.625" style="57" customWidth="1"/>
    <col min="15620" max="15620" width="12.125" style="57" customWidth="1"/>
    <col min="15621" max="15862" width="9" style="57"/>
    <col min="15863" max="15863" width="2.5" style="57" customWidth="1"/>
    <col min="15864" max="15864" width="23.75" style="57" customWidth="1"/>
    <col min="15865" max="15865" width="4.375" style="57" customWidth="1"/>
    <col min="15866" max="15866" width="10.875" style="57" customWidth="1"/>
    <col min="15867" max="15867" width="5.125" style="57" customWidth="1"/>
    <col min="15868" max="15868" width="11" style="57" customWidth="1"/>
    <col min="15869" max="15869" width="4.625" style="57" customWidth="1"/>
    <col min="15870" max="15870" width="11.375" style="57" customWidth="1"/>
    <col min="15871" max="15871" width="5.25" style="57" customWidth="1"/>
    <col min="15872" max="15872" width="11.25" style="57" customWidth="1"/>
    <col min="15873" max="15873" width="5" style="57" customWidth="1"/>
    <col min="15874" max="15874" width="12.375" style="57" customWidth="1"/>
    <col min="15875" max="15875" width="6.625" style="57" customWidth="1"/>
    <col min="15876" max="15876" width="12.125" style="57" customWidth="1"/>
    <col min="15877" max="16118" width="9" style="57"/>
    <col min="16119" max="16119" width="2.5" style="57" customWidth="1"/>
    <col min="16120" max="16120" width="23.75" style="57" customWidth="1"/>
    <col min="16121" max="16121" width="4.375" style="57" customWidth="1"/>
    <col min="16122" max="16122" width="10.875" style="57" customWidth="1"/>
    <col min="16123" max="16123" width="5.125" style="57" customWidth="1"/>
    <col min="16124" max="16124" width="11" style="57" customWidth="1"/>
    <col min="16125" max="16125" width="4.625" style="57" customWidth="1"/>
    <col min="16126" max="16126" width="11.375" style="57" customWidth="1"/>
    <col min="16127" max="16127" width="5.25" style="57" customWidth="1"/>
    <col min="16128" max="16128" width="11.25" style="57" customWidth="1"/>
    <col min="16129" max="16129" width="5" style="57" customWidth="1"/>
    <col min="16130" max="16130" width="12.375" style="57" customWidth="1"/>
    <col min="16131" max="16131" width="6.625" style="57" customWidth="1"/>
    <col min="16132" max="16132" width="12.125" style="57" customWidth="1"/>
    <col min="16133" max="16384" width="9" style="57"/>
  </cols>
  <sheetData>
    <row r="1" spans="1:14" x14ac:dyDescent="0.4">
      <c r="A1" s="189" t="s">
        <v>34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4">
      <c r="A2" s="189" t="s">
        <v>308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</row>
    <row r="3" spans="1:14" s="58" customFormat="1" x14ac:dyDescent="0.4">
      <c r="A3" s="189" t="s">
        <v>35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</row>
    <row r="5" spans="1:14" s="84" customFormat="1" x14ac:dyDescent="0.4">
      <c r="A5" s="59"/>
      <c r="B5" s="60"/>
      <c r="C5" s="190" t="s">
        <v>36</v>
      </c>
      <c r="D5" s="191"/>
      <c r="E5" s="190" t="s">
        <v>37</v>
      </c>
      <c r="F5" s="191"/>
      <c r="G5" s="190" t="s">
        <v>38</v>
      </c>
      <c r="H5" s="191"/>
      <c r="I5" s="190" t="s">
        <v>39</v>
      </c>
      <c r="J5" s="191"/>
      <c r="K5" s="190" t="s">
        <v>40</v>
      </c>
      <c r="L5" s="191"/>
      <c r="M5" s="190" t="s">
        <v>41</v>
      </c>
      <c r="N5" s="191"/>
    </row>
    <row r="6" spans="1:14" x14ac:dyDescent="0.4">
      <c r="A6" s="63"/>
      <c r="B6" s="56" t="s">
        <v>42</v>
      </c>
      <c r="C6" s="64" t="s">
        <v>43</v>
      </c>
      <c r="D6" s="65" t="s">
        <v>12</v>
      </c>
      <c r="E6" s="64" t="s">
        <v>43</v>
      </c>
      <c r="F6" s="65" t="s">
        <v>12</v>
      </c>
      <c r="G6" s="56" t="s">
        <v>43</v>
      </c>
      <c r="H6" s="65" t="s">
        <v>12</v>
      </c>
      <c r="I6" s="56" t="s">
        <v>43</v>
      </c>
      <c r="J6" s="65" t="s">
        <v>12</v>
      </c>
      <c r="K6" s="64" t="s">
        <v>43</v>
      </c>
      <c r="L6" s="65" t="s">
        <v>12</v>
      </c>
      <c r="M6" s="64" t="s">
        <v>43</v>
      </c>
      <c r="N6" s="65" t="s">
        <v>12</v>
      </c>
    </row>
    <row r="7" spans="1:14" x14ac:dyDescent="0.4">
      <c r="A7" s="66"/>
      <c r="C7" s="64" t="s">
        <v>10</v>
      </c>
      <c r="D7" s="67" t="s">
        <v>16</v>
      </c>
      <c r="E7" s="64" t="s">
        <v>10</v>
      </c>
      <c r="F7" s="67" t="s">
        <v>16</v>
      </c>
      <c r="G7" s="56" t="s">
        <v>10</v>
      </c>
      <c r="H7" s="67" t="s">
        <v>16</v>
      </c>
      <c r="I7" s="56" t="s">
        <v>10</v>
      </c>
      <c r="J7" s="67" t="s">
        <v>16</v>
      </c>
      <c r="K7" s="64" t="s">
        <v>10</v>
      </c>
      <c r="L7" s="67" t="s">
        <v>16</v>
      </c>
      <c r="M7" s="67" t="s">
        <v>10</v>
      </c>
      <c r="N7" s="67" t="s">
        <v>16</v>
      </c>
    </row>
    <row r="8" spans="1:14" ht="18" customHeight="1" x14ac:dyDescent="0.4">
      <c r="A8" s="68" t="s">
        <v>44</v>
      </c>
      <c r="B8" s="69"/>
      <c r="C8" s="65"/>
      <c r="D8" s="65"/>
      <c r="E8" s="78"/>
      <c r="F8" s="85"/>
      <c r="G8" s="78"/>
      <c r="H8" s="85"/>
      <c r="I8" s="85"/>
      <c r="J8" s="85"/>
      <c r="K8" s="78"/>
      <c r="L8" s="85"/>
      <c r="M8" s="78"/>
      <c r="N8" s="78"/>
    </row>
    <row r="9" spans="1:14" x14ac:dyDescent="0.4">
      <c r="A9" s="70" t="s">
        <v>45</v>
      </c>
      <c r="B9" s="63" t="s">
        <v>46</v>
      </c>
      <c r="C9" s="71"/>
      <c r="D9" s="86"/>
      <c r="E9" s="71"/>
      <c r="F9" s="87"/>
      <c r="G9" s="71"/>
      <c r="H9" s="87"/>
      <c r="I9" s="87">
        <v>6</v>
      </c>
      <c r="J9" s="229">
        <v>1402569</v>
      </c>
      <c r="K9" s="220"/>
      <c r="L9" s="229"/>
      <c r="M9" s="229">
        <f>SUM(G9,I9,K9)</f>
        <v>6</v>
      </c>
      <c r="N9" s="229">
        <f>SUM(H9,J9,L9)</f>
        <v>1402569</v>
      </c>
    </row>
    <row r="10" spans="1:14" x14ac:dyDescent="0.4">
      <c r="A10" s="70" t="s">
        <v>45</v>
      </c>
      <c r="B10" s="63" t="s">
        <v>47</v>
      </c>
      <c r="C10" s="71"/>
      <c r="D10" s="86"/>
      <c r="E10" s="71"/>
      <c r="F10" s="87"/>
      <c r="G10" s="71"/>
      <c r="H10" s="87"/>
      <c r="I10" s="87">
        <v>27</v>
      </c>
      <c r="J10" s="229">
        <v>29920000</v>
      </c>
      <c r="K10" s="220">
        <v>2</v>
      </c>
      <c r="L10" s="229">
        <v>1500000</v>
      </c>
      <c r="M10" s="229">
        <f>SUM(G10,I10,K10)</f>
        <v>29</v>
      </c>
      <c r="N10" s="229">
        <f>SUM(H10,J10,L10)</f>
        <v>31420000</v>
      </c>
    </row>
    <row r="11" spans="1:14" x14ac:dyDescent="0.4">
      <c r="A11" s="72"/>
      <c r="B11" s="73"/>
      <c r="C11" s="79"/>
      <c r="D11" s="79"/>
      <c r="E11" s="74"/>
      <c r="F11" s="88"/>
      <c r="G11" s="74"/>
      <c r="H11" s="88"/>
      <c r="I11" s="88"/>
      <c r="J11" s="230"/>
      <c r="K11" s="221"/>
      <c r="L11" s="230"/>
      <c r="M11" s="230"/>
      <c r="N11" s="230"/>
    </row>
    <row r="12" spans="1:14" x14ac:dyDescent="0.4">
      <c r="A12" s="61"/>
      <c r="B12" s="56" t="s">
        <v>48</v>
      </c>
      <c r="C12" s="80">
        <f t="shared" ref="C12:F12" si="0">SUM(C9:C11)</f>
        <v>0</v>
      </c>
      <c r="D12" s="80">
        <f t="shared" si="0"/>
        <v>0</v>
      </c>
      <c r="E12" s="80">
        <f t="shared" si="0"/>
        <v>0</v>
      </c>
      <c r="F12" s="80">
        <f t="shared" si="0"/>
        <v>0</v>
      </c>
      <c r="G12" s="80">
        <f>SUM(G9:G11)</f>
        <v>0</v>
      </c>
      <c r="H12" s="80">
        <f>SUM(H9:H11)</f>
        <v>0</v>
      </c>
      <c r="I12" s="80">
        <f>SUM(I9:I11)</f>
        <v>33</v>
      </c>
      <c r="J12" s="91">
        <f>SUM(J9:J11)</f>
        <v>31322569</v>
      </c>
      <c r="K12" s="222">
        <f>SUM(K9:K11)</f>
        <v>2</v>
      </c>
      <c r="L12" s="91">
        <f>SUM(L9:L11)</f>
        <v>1500000</v>
      </c>
      <c r="M12" s="91">
        <f>SUM(G12,I12,K12)</f>
        <v>35</v>
      </c>
      <c r="N12" s="91">
        <f>SUM(H12,J12,L12)</f>
        <v>32822569</v>
      </c>
    </row>
    <row r="13" spans="1:14" x14ac:dyDescent="0.4">
      <c r="A13" s="75" t="s">
        <v>49</v>
      </c>
      <c r="B13" s="76"/>
      <c r="C13" s="78"/>
      <c r="D13" s="78"/>
      <c r="E13" s="77"/>
      <c r="F13" s="77"/>
      <c r="G13" s="77"/>
      <c r="H13" s="77"/>
      <c r="I13" s="77"/>
      <c r="J13" s="231"/>
      <c r="K13" s="223"/>
      <c r="L13" s="231"/>
      <c r="M13" s="233"/>
      <c r="N13" s="231"/>
    </row>
    <row r="14" spans="1:14" x14ac:dyDescent="0.4">
      <c r="A14" s="72"/>
      <c r="B14" s="72" t="s">
        <v>307</v>
      </c>
      <c r="C14" s="71"/>
      <c r="D14" s="87"/>
      <c r="E14" s="71"/>
      <c r="F14" s="87"/>
      <c r="G14" s="71"/>
      <c r="H14" s="87"/>
      <c r="I14" s="87">
        <v>1</v>
      </c>
      <c r="J14" s="229">
        <v>500000</v>
      </c>
      <c r="K14" s="220"/>
      <c r="L14" s="229"/>
      <c r="M14" s="229">
        <f>SUM(G14,I14,K14)</f>
        <v>1</v>
      </c>
      <c r="N14" s="229">
        <f>SUM(H14,J14,L14)</f>
        <v>500000</v>
      </c>
    </row>
    <row r="15" spans="1:14" ht="18.75" customHeight="1" x14ac:dyDescent="0.4">
      <c r="A15" s="61"/>
      <c r="B15" s="62" t="s">
        <v>48</v>
      </c>
      <c r="C15" s="92">
        <f t="shared" ref="C15:F15" si="1">SUM(C14:C14)</f>
        <v>0</v>
      </c>
      <c r="D15" s="92">
        <f t="shared" si="1"/>
        <v>0</v>
      </c>
      <c r="E15" s="92">
        <f t="shared" si="1"/>
        <v>0</v>
      </c>
      <c r="F15" s="92">
        <f t="shared" si="1"/>
        <v>0</v>
      </c>
      <c r="G15" s="92">
        <f t="shared" ref="G15:N15" si="2">SUM(G14:G14)</f>
        <v>0</v>
      </c>
      <c r="H15" s="92">
        <f t="shared" si="2"/>
        <v>0</v>
      </c>
      <c r="I15" s="92">
        <f t="shared" si="2"/>
        <v>1</v>
      </c>
      <c r="J15" s="232">
        <f t="shared" si="2"/>
        <v>500000</v>
      </c>
      <c r="K15" s="224">
        <f t="shared" si="2"/>
        <v>0</v>
      </c>
      <c r="L15" s="232">
        <f t="shared" si="2"/>
        <v>0</v>
      </c>
      <c r="M15" s="232">
        <f t="shared" si="2"/>
        <v>1</v>
      </c>
      <c r="N15" s="232">
        <f t="shared" si="2"/>
        <v>500000</v>
      </c>
    </row>
    <row r="16" spans="1:14" ht="17.25" customHeight="1" x14ac:dyDescent="0.4">
      <c r="A16" s="187" t="s">
        <v>309</v>
      </c>
      <c r="B16" s="188"/>
      <c r="C16" s="78"/>
      <c r="D16" s="78"/>
      <c r="E16" s="78"/>
      <c r="F16" s="78"/>
      <c r="G16" s="78"/>
      <c r="H16" s="78"/>
      <c r="I16" s="78"/>
      <c r="J16" s="233"/>
      <c r="K16" s="219"/>
      <c r="L16" s="233"/>
      <c r="M16" s="233"/>
      <c r="N16" s="233"/>
    </row>
    <row r="17" spans="1:14" ht="17.25" customHeight="1" x14ac:dyDescent="0.4">
      <c r="A17" s="70"/>
      <c r="B17" s="82" t="s">
        <v>50</v>
      </c>
      <c r="C17" s="71"/>
      <c r="D17" s="71"/>
      <c r="E17" s="71"/>
      <c r="F17" s="71"/>
      <c r="G17" s="71"/>
      <c r="H17" s="71"/>
      <c r="I17" s="71"/>
      <c r="J17" s="229"/>
      <c r="K17" s="220"/>
      <c r="L17" s="229"/>
      <c r="M17" s="229"/>
      <c r="N17" s="229"/>
    </row>
    <row r="18" spans="1:14" ht="17.25" customHeight="1" x14ac:dyDescent="0.4">
      <c r="A18" s="63"/>
      <c r="B18" s="83" t="s">
        <v>51</v>
      </c>
      <c r="C18" s="90"/>
      <c r="D18" s="90"/>
      <c r="E18" s="71"/>
      <c r="F18" s="87"/>
      <c r="G18" s="71"/>
      <c r="H18" s="87"/>
      <c r="I18" s="87"/>
      <c r="J18" s="229"/>
      <c r="K18" s="220"/>
      <c r="L18" s="229"/>
      <c r="M18" s="229"/>
      <c r="N18" s="229"/>
    </row>
    <row r="19" spans="1:14" ht="17.25" customHeight="1" x14ac:dyDescent="0.4">
      <c r="A19" s="66"/>
      <c r="B19" s="149" t="s">
        <v>311</v>
      </c>
      <c r="C19" s="150"/>
      <c r="D19" s="151"/>
      <c r="E19" s="150"/>
      <c r="F19" s="151"/>
      <c r="G19" s="150"/>
      <c r="H19" s="151"/>
      <c r="I19" s="150"/>
      <c r="J19" s="234"/>
      <c r="K19" s="149">
        <v>1</v>
      </c>
      <c r="L19" s="234">
        <v>1051000</v>
      </c>
      <c r="M19" s="236">
        <f>SUM(G19,I19,K19)</f>
        <v>1</v>
      </c>
      <c r="N19" s="236">
        <f>SUM(H19,J19,L19)</f>
        <v>1051000</v>
      </c>
    </row>
    <row r="20" spans="1:14" ht="17.25" customHeight="1" x14ac:dyDescent="0.4">
      <c r="A20" s="61"/>
      <c r="B20" s="62" t="s">
        <v>48</v>
      </c>
      <c r="C20" s="81" t="s">
        <v>310</v>
      </c>
      <c r="D20" s="81" t="s">
        <v>310</v>
      </c>
      <c r="E20" s="81" t="s">
        <v>310</v>
      </c>
      <c r="F20" s="81" t="s">
        <v>310</v>
      </c>
      <c r="G20" s="81" t="s">
        <v>310</v>
      </c>
      <c r="H20" s="81" t="s">
        <v>310</v>
      </c>
      <c r="I20" s="89">
        <f t="shared" ref="H20:N20" si="3">SUM(I9:I10,I14,I19)</f>
        <v>34</v>
      </c>
      <c r="J20" s="235">
        <f t="shared" si="3"/>
        <v>31822569</v>
      </c>
      <c r="K20" s="225">
        <f t="shared" si="3"/>
        <v>3</v>
      </c>
      <c r="L20" s="235">
        <f t="shared" si="3"/>
        <v>2551000</v>
      </c>
      <c r="M20" s="235">
        <f t="shared" si="3"/>
        <v>37</v>
      </c>
      <c r="N20" s="235">
        <f t="shared" si="3"/>
        <v>34373569</v>
      </c>
    </row>
    <row r="21" spans="1:14" ht="21.75" customHeight="1" x14ac:dyDescent="0.4">
      <c r="A21" s="61"/>
      <c r="B21" s="62" t="s">
        <v>52</v>
      </c>
      <c r="C21" s="227">
        <f t="shared" ref="C21:F21" si="4">SUM(C12,C15,C20)</f>
        <v>0</v>
      </c>
      <c r="D21" s="227">
        <f t="shared" si="4"/>
        <v>0</v>
      </c>
      <c r="E21" s="227">
        <f t="shared" si="4"/>
        <v>0</v>
      </c>
      <c r="F21" s="227">
        <f t="shared" si="4"/>
        <v>0</v>
      </c>
      <c r="G21" s="227">
        <f>SUM(G12,G15,G20)</f>
        <v>0</v>
      </c>
      <c r="H21" s="227">
        <f>SUM(H12,H15,H20)</f>
        <v>0</v>
      </c>
      <c r="I21" s="227">
        <f>SUM(I12,I15,I20)</f>
        <v>68</v>
      </c>
      <c r="J21" s="232">
        <f t="shared" ref="H21:N21" si="5">SUM(J12,J15,J20)</f>
        <v>63645138</v>
      </c>
      <c r="K21" s="226">
        <f t="shared" si="5"/>
        <v>5</v>
      </c>
      <c r="L21" s="232">
        <f t="shared" si="5"/>
        <v>4051000</v>
      </c>
      <c r="M21" s="232">
        <f t="shared" si="5"/>
        <v>73</v>
      </c>
      <c r="N21" s="232">
        <f t="shared" si="5"/>
        <v>67696138</v>
      </c>
    </row>
    <row r="22" spans="1:14" x14ac:dyDescent="0.4">
      <c r="H22" s="228"/>
      <c r="I22" s="228"/>
      <c r="J22" s="228"/>
    </row>
    <row r="24" spans="1:14" x14ac:dyDescent="0.4">
      <c r="F24" s="93"/>
      <c r="N24" s="93"/>
    </row>
    <row r="25" spans="1:14" x14ac:dyDescent="0.4">
      <c r="N25" s="93"/>
    </row>
  </sheetData>
  <mergeCells count="10">
    <mergeCell ref="A16:B16"/>
    <mergeCell ref="A1:N1"/>
    <mergeCell ref="A2:N2"/>
    <mergeCell ref="A3:N3"/>
    <mergeCell ref="C5:D5"/>
    <mergeCell ref="E5:F5"/>
    <mergeCell ref="G5:H5"/>
    <mergeCell ref="I5:J5"/>
    <mergeCell ref="K5:L5"/>
    <mergeCell ref="M5:N5"/>
  </mergeCells>
  <pageMargins left="0.7" right="0.7" top="0.75" bottom="0.75" header="0.3" footer="0.3"/>
  <pageSetup paperSize="9" firstPageNumber="49" orientation="landscape" useFirstPageNumber="1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4CD6-47ED-431E-B2CD-183E5F469CFC}">
  <dimension ref="A1:U24"/>
  <sheetViews>
    <sheetView view="pageLayout" topLeftCell="A10" zoomScaleNormal="100" workbookViewId="0">
      <selection activeCell="J23" sqref="J23:L23"/>
    </sheetView>
  </sheetViews>
  <sheetFormatPr defaultColWidth="8.625" defaultRowHeight="21" x14ac:dyDescent="0.45"/>
  <cols>
    <col min="1" max="1" width="4.125" style="3" customWidth="1"/>
    <col min="2" max="2" width="31.75" style="4" customWidth="1"/>
    <col min="3" max="3" width="15.75" style="4" customWidth="1"/>
    <col min="4" max="4" width="14.25" style="4" customWidth="1"/>
    <col min="5" max="7" width="5.625" style="4" customWidth="1"/>
    <col min="8" max="8" width="7.625" style="4" customWidth="1"/>
    <col min="9" max="9" width="5.5" style="4" customWidth="1"/>
    <col min="10" max="10" width="11.25" style="4" customWidth="1"/>
    <col min="11" max="11" width="15.125" style="4" customWidth="1"/>
    <col min="12" max="12" width="9.875" style="4" customWidth="1"/>
    <col min="13" max="16384" width="8.625" style="4"/>
  </cols>
  <sheetData>
    <row r="1" spans="1:13" s="24" customFormat="1" x14ac:dyDescent="0.45">
      <c r="A1" s="200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53"/>
    </row>
    <row r="2" spans="1:13" s="24" customFormat="1" x14ac:dyDescent="0.45">
      <c r="A2" s="200" t="s">
        <v>252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53"/>
    </row>
    <row r="3" spans="1:13" s="24" customFormat="1" ht="18" customHeight="1" x14ac:dyDescent="0.45">
      <c r="A3" s="200" t="s">
        <v>19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53"/>
    </row>
    <row r="4" spans="1:13" s="26" customFormat="1" x14ac:dyDescent="0.45">
      <c r="A4" s="197" t="s">
        <v>1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52"/>
    </row>
    <row r="5" spans="1:13" s="26" customFormat="1" x14ac:dyDescent="0.45">
      <c r="A5" s="197" t="s">
        <v>2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52"/>
    </row>
    <row r="6" spans="1:13" s="26" customFormat="1" x14ac:dyDescent="0.45">
      <c r="A6" s="27"/>
      <c r="B6" s="199" t="s">
        <v>3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</row>
    <row r="7" spans="1:13" s="26" customFormat="1" x14ac:dyDescent="0.45">
      <c r="A7" s="27"/>
      <c r="B7" s="199" t="s">
        <v>4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</row>
    <row r="8" spans="1:13" s="24" customFormat="1" x14ac:dyDescent="0.45">
      <c r="A8" s="197" t="s">
        <v>5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53"/>
    </row>
    <row r="9" spans="1:13" s="24" customFormat="1" x14ac:dyDescent="0.45">
      <c r="A9" s="197" t="s">
        <v>6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53"/>
    </row>
    <row r="10" spans="1:13" s="26" customFormat="1" x14ac:dyDescent="0.45">
      <c r="A10" s="197" t="s">
        <v>7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52"/>
    </row>
    <row r="11" spans="1:13" s="24" customFormat="1" x14ac:dyDescent="0.45">
      <c r="A11" s="197" t="s">
        <v>20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53"/>
    </row>
    <row r="12" spans="1:13" s="24" customFormat="1" x14ac:dyDescent="0.45">
      <c r="A12" s="197" t="s">
        <v>27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53"/>
    </row>
    <row r="13" spans="1:13" s="24" customFormat="1" x14ac:dyDescent="0.45">
      <c r="A13" s="197" t="s">
        <v>28</v>
      </c>
      <c r="B13" s="197"/>
      <c r="C13" s="197"/>
      <c r="D13" s="197"/>
      <c r="E13" s="197"/>
      <c r="F13" s="197"/>
      <c r="G13" s="197"/>
      <c r="H13" s="25"/>
      <c r="I13" s="25"/>
      <c r="J13" s="25"/>
      <c r="K13" s="25"/>
      <c r="L13" s="25"/>
      <c r="M13" s="53"/>
    </row>
    <row r="14" spans="1:13" s="24" customFormat="1" x14ac:dyDescent="0.45">
      <c r="A14" s="197" t="s">
        <v>32</v>
      </c>
      <c r="B14" s="197"/>
      <c r="C14" s="197"/>
      <c r="D14" s="197"/>
      <c r="E14" s="197"/>
      <c r="F14" s="197"/>
      <c r="G14" s="197"/>
      <c r="H14" s="25"/>
      <c r="I14" s="25"/>
      <c r="J14" s="25"/>
      <c r="K14" s="25"/>
      <c r="L14" s="25"/>
      <c r="M14" s="53"/>
    </row>
    <row r="15" spans="1:13" s="2" customFormat="1" ht="21" customHeight="1" x14ac:dyDescent="0.2">
      <c r="A15" s="197" t="s">
        <v>8</v>
      </c>
      <c r="B15" s="197"/>
      <c r="C15" s="197"/>
      <c r="D15" s="197"/>
      <c r="E15" s="197"/>
      <c r="F15" s="25"/>
      <c r="G15" s="25"/>
      <c r="H15" s="25"/>
      <c r="I15" s="25"/>
      <c r="J15" s="25"/>
      <c r="K15" s="25"/>
      <c r="L15" s="25"/>
      <c r="M15" s="53"/>
    </row>
    <row r="16" spans="1:13" s="24" customFormat="1" ht="20.45" customHeight="1" x14ac:dyDescent="0.45">
      <c r="A16" s="198" t="s">
        <v>9</v>
      </c>
      <c r="B16" s="198" t="s">
        <v>10</v>
      </c>
      <c r="C16" s="198" t="s">
        <v>11</v>
      </c>
      <c r="D16" s="31" t="s">
        <v>22</v>
      </c>
      <c r="E16" s="198" t="s">
        <v>12</v>
      </c>
      <c r="F16" s="198"/>
      <c r="G16" s="198"/>
      <c r="H16" s="198"/>
      <c r="I16" s="198"/>
      <c r="J16" s="196" t="s">
        <v>13</v>
      </c>
      <c r="K16" s="196" t="s">
        <v>14</v>
      </c>
      <c r="L16" s="196" t="s">
        <v>15</v>
      </c>
    </row>
    <row r="17" spans="1:21" s="24" customFormat="1" x14ac:dyDescent="0.45">
      <c r="A17" s="198"/>
      <c r="B17" s="198"/>
      <c r="C17" s="198"/>
      <c r="D17" s="33" t="s">
        <v>23</v>
      </c>
      <c r="E17" s="32">
        <v>2566</v>
      </c>
      <c r="F17" s="30">
        <v>2567</v>
      </c>
      <c r="G17" s="32">
        <v>2568</v>
      </c>
      <c r="H17" s="30">
        <v>2569</v>
      </c>
      <c r="I17" s="32">
        <v>2570</v>
      </c>
      <c r="J17" s="196"/>
      <c r="K17" s="196"/>
      <c r="L17" s="196"/>
    </row>
    <row r="18" spans="1:21" s="24" customFormat="1" x14ac:dyDescent="0.45">
      <c r="A18" s="198"/>
      <c r="B18" s="198"/>
      <c r="C18" s="198"/>
      <c r="D18" s="35" t="s">
        <v>10</v>
      </c>
      <c r="E18" s="30" t="s">
        <v>16</v>
      </c>
      <c r="F18" s="30" t="s">
        <v>16</v>
      </c>
      <c r="G18" s="30" t="s">
        <v>16</v>
      </c>
      <c r="H18" s="30" t="s">
        <v>16</v>
      </c>
      <c r="I18" s="30" t="s">
        <v>16</v>
      </c>
      <c r="J18" s="196"/>
      <c r="K18" s="196"/>
      <c r="L18" s="196"/>
    </row>
    <row r="19" spans="1:21" s="2" customFormat="1" ht="21" customHeight="1" x14ac:dyDescent="0.45">
      <c r="A19" s="16">
        <v>1</v>
      </c>
      <c r="B19" s="98" t="s">
        <v>276</v>
      </c>
      <c r="C19" s="39" t="s">
        <v>279</v>
      </c>
      <c r="D19" s="5" t="s">
        <v>297</v>
      </c>
      <c r="E19" s="13"/>
      <c r="F19" s="14"/>
      <c r="G19" s="15"/>
      <c r="H19" s="15">
        <v>500000</v>
      </c>
      <c r="I19" s="15"/>
      <c r="J19" s="39" t="s">
        <v>17</v>
      </c>
      <c r="K19" s="39" t="s">
        <v>281</v>
      </c>
      <c r="L19" s="5" t="s">
        <v>61</v>
      </c>
      <c r="N19" s="3"/>
      <c r="O19" s="4"/>
      <c r="P19" s="4"/>
      <c r="Q19" s="4"/>
      <c r="R19" s="10"/>
      <c r="S19" s="3"/>
      <c r="T19" s="3"/>
      <c r="U19" s="3"/>
    </row>
    <row r="20" spans="1:21" ht="21" customHeight="1" x14ac:dyDescent="0.45">
      <c r="A20" s="11"/>
      <c r="B20" s="7" t="s">
        <v>277</v>
      </c>
      <c r="C20" s="39" t="s">
        <v>280</v>
      </c>
      <c r="D20" s="5" t="s">
        <v>298</v>
      </c>
      <c r="E20" s="5"/>
      <c r="F20" s="5"/>
      <c r="G20" s="5"/>
      <c r="H20" s="7"/>
      <c r="I20" s="5"/>
      <c r="J20" s="39" t="s">
        <v>283</v>
      </c>
      <c r="K20" s="39" t="s">
        <v>282</v>
      </c>
      <c r="L20" s="5"/>
      <c r="N20" s="3"/>
      <c r="S20" s="3"/>
      <c r="T20" s="3"/>
      <c r="U20" s="3"/>
    </row>
    <row r="21" spans="1:21" ht="21" customHeight="1" x14ac:dyDescent="0.45">
      <c r="A21" s="11"/>
      <c r="B21" s="6" t="s">
        <v>278</v>
      </c>
      <c r="C21" s="39" t="s">
        <v>65</v>
      </c>
      <c r="D21" s="5"/>
      <c r="E21" s="5"/>
      <c r="F21" s="5"/>
      <c r="G21" s="5"/>
      <c r="H21" s="5"/>
      <c r="I21" s="5"/>
      <c r="J21" s="39" t="s">
        <v>284</v>
      </c>
      <c r="K21" s="5"/>
      <c r="L21" s="5"/>
      <c r="N21" s="3"/>
      <c r="S21" s="3"/>
      <c r="T21" s="3"/>
      <c r="U21" s="3"/>
    </row>
    <row r="22" spans="1:21" ht="21" customHeight="1" x14ac:dyDescent="0.45">
      <c r="A22" s="12"/>
      <c r="B22" s="8"/>
      <c r="C22" s="9"/>
      <c r="D22" s="9"/>
      <c r="E22" s="9"/>
      <c r="F22" s="9"/>
      <c r="G22" s="9"/>
      <c r="H22" s="9"/>
      <c r="I22" s="9"/>
      <c r="J22" s="41"/>
      <c r="K22" s="9"/>
      <c r="L22" s="9"/>
      <c r="N22" s="3"/>
      <c r="S22" s="3"/>
      <c r="T22" s="3"/>
      <c r="U22" s="3"/>
    </row>
    <row r="23" spans="1:21" s="24" customFormat="1" x14ac:dyDescent="0.45">
      <c r="A23" s="192" t="s">
        <v>90</v>
      </c>
      <c r="B23" s="192"/>
      <c r="C23" s="192"/>
      <c r="D23" s="192"/>
      <c r="E23" s="122">
        <f>SUM(E19)</f>
        <v>0</v>
      </c>
      <c r="F23" s="122">
        <f t="shared" ref="F23:I23" si="0">SUM(F19)</f>
        <v>0</v>
      </c>
      <c r="G23" s="122">
        <f t="shared" si="0"/>
        <v>0</v>
      </c>
      <c r="H23" s="122">
        <f t="shared" si="0"/>
        <v>500000</v>
      </c>
      <c r="I23" s="122">
        <f t="shared" si="0"/>
        <v>0</v>
      </c>
      <c r="J23" s="193"/>
      <c r="K23" s="194"/>
      <c r="L23" s="195"/>
    </row>
    <row r="24" spans="1:21" s="24" customFormat="1" x14ac:dyDescent="0.45">
      <c r="A24" s="3"/>
      <c r="B24" s="20"/>
      <c r="C24" s="48"/>
      <c r="D24" s="48"/>
      <c r="E24" s="49"/>
      <c r="F24" s="49"/>
      <c r="G24" s="49"/>
      <c r="H24" s="49"/>
      <c r="I24" s="49"/>
      <c r="J24" s="47"/>
      <c r="K24" s="47"/>
      <c r="L24" s="47"/>
    </row>
  </sheetData>
  <mergeCells count="24">
    <mergeCell ref="A12:L12"/>
    <mergeCell ref="A1:L1"/>
    <mergeCell ref="A2:L2"/>
    <mergeCell ref="A3:L3"/>
    <mergeCell ref="A4:L4"/>
    <mergeCell ref="A5:L5"/>
    <mergeCell ref="B6:M6"/>
    <mergeCell ref="B7:M7"/>
    <mergeCell ref="A8:L8"/>
    <mergeCell ref="A9:L9"/>
    <mergeCell ref="A10:L10"/>
    <mergeCell ref="A11:L11"/>
    <mergeCell ref="A13:G13"/>
    <mergeCell ref="A14:G14"/>
    <mergeCell ref="A15:E15"/>
    <mergeCell ref="A16:A18"/>
    <mergeCell ref="B16:B18"/>
    <mergeCell ref="C16:C18"/>
    <mergeCell ref="E16:I16"/>
    <mergeCell ref="A23:D23"/>
    <mergeCell ref="J23:L23"/>
    <mergeCell ref="J16:J18"/>
    <mergeCell ref="K16:K18"/>
    <mergeCell ref="L16:L18"/>
  </mergeCells>
  <pageMargins left="0.25" right="0.25" top="0.75" bottom="0.75" header="0.3" footer="0.3"/>
  <pageSetup paperSize="9" orientation="landscape" horizontalDpi="4294967293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4CDB-9B65-4259-821D-F36B14D26CC2}">
  <dimension ref="A1:U44"/>
  <sheetViews>
    <sheetView view="pageLayout" topLeftCell="A55" zoomScaleNormal="100" workbookViewId="0">
      <selection activeCell="A12" sqref="A12:L12"/>
    </sheetView>
  </sheetViews>
  <sheetFormatPr defaultColWidth="8.625" defaultRowHeight="21" x14ac:dyDescent="0.45"/>
  <cols>
    <col min="1" max="1" width="4.125" style="3" customWidth="1"/>
    <col min="2" max="2" width="31.75" style="4" customWidth="1"/>
    <col min="3" max="3" width="15.75" style="4" customWidth="1"/>
    <col min="4" max="4" width="14.25" style="4" customWidth="1"/>
    <col min="5" max="7" width="5.625" style="4" customWidth="1"/>
    <col min="8" max="8" width="7.625" style="4" customWidth="1"/>
    <col min="9" max="9" width="5.5" style="4" customWidth="1"/>
    <col min="10" max="10" width="11.25" style="4" customWidth="1"/>
    <col min="11" max="11" width="15.125" style="4" customWidth="1"/>
    <col min="12" max="12" width="9.875" style="4" customWidth="1"/>
    <col min="13" max="16384" width="8.625" style="4"/>
  </cols>
  <sheetData>
    <row r="1" spans="1:13" s="24" customFormat="1" x14ac:dyDescent="0.45">
      <c r="A1" s="200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53"/>
    </row>
    <row r="2" spans="1:13" s="24" customFormat="1" x14ac:dyDescent="0.45">
      <c r="A2" s="200" t="s">
        <v>252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53"/>
    </row>
    <row r="3" spans="1:13" s="24" customFormat="1" ht="18" customHeight="1" x14ac:dyDescent="0.45">
      <c r="A3" s="200" t="s">
        <v>19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53"/>
    </row>
    <row r="4" spans="1:13" s="26" customFormat="1" x14ac:dyDescent="0.45">
      <c r="A4" s="197" t="s">
        <v>1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52"/>
    </row>
    <row r="5" spans="1:13" s="26" customFormat="1" x14ac:dyDescent="0.45">
      <c r="A5" s="197" t="s">
        <v>2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52"/>
    </row>
    <row r="6" spans="1:13" s="26" customFormat="1" x14ac:dyDescent="0.45">
      <c r="A6" s="27"/>
      <c r="B6" s="199" t="s">
        <v>3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</row>
    <row r="7" spans="1:13" s="26" customFormat="1" x14ac:dyDescent="0.45">
      <c r="A7" s="27"/>
      <c r="B7" s="199" t="s">
        <v>4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</row>
    <row r="8" spans="1:13" s="24" customFormat="1" x14ac:dyDescent="0.45">
      <c r="A8" s="197" t="s">
        <v>5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53"/>
    </row>
    <row r="9" spans="1:13" s="24" customFormat="1" x14ac:dyDescent="0.45">
      <c r="A9" s="197" t="s">
        <v>6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53"/>
    </row>
    <row r="10" spans="1:13" s="26" customFormat="1" x14ac:dyDescent="0.45">
      <c r="A10" s="197" t="s">
        <v>7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52"/>
    </row>
    <row r="11" spans="1:13" s="24" customFormat="1" x14ac:dyDescent="0.45">
      <c r="A11" s="197" t="s">
        <v>20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53"/>
    </row>
    <row r="12" spans="1:13" s="24" customFormat="1" x14ac:dyDescent="0.45">
      <c r="A12" s="197" t="s">
        <v>27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53"/>
    </row>
    <row r="13" spans="1:13" s="24" customFormat="1" x14ac:dyDescent="0.45">
      <c r="A13" s="197" t="s">
        <v>28</v>
      </c>
      <c r="B13" s="197"/>
      <c r="C13" s="197"/>
      <c r="D13" s="197"/>
      <c r="E13" s="197"/>
      <c r="F13" s="197"/>
      <c r="G13" s="197"/>
      <c r="H13" s="25"/>
      <c r="I13" s="25"/>
      <c r="J13" s="25"/>
      <c r="K13" s="25"/>
      <c r="L13" s="25"/>
      <c r="M13" s="53"/>
    </row>
    <row r="14" spans="1:13" s="24" customFormat="1" x14ac:dyDescent="0.45">
      <c r="A14" s="197" t="s">
        <v>32</v>
      </c>
      <c r="B14" s="197"/>
      <c r="C14" s="197"/>
      <c r="D14" s="197"/>
      <c r="E14" s="197"/>
      <c r="F14" s="197"/>
      <c r="G14" s="197"/>
      <c r="H14" s="25"/>
      <c r="I14" s="25"/>
      <c r="J14" s="25"/>
      <c r="K14" s="25"/>
      <c r="L14" s="25"/>
      <c r="M14" s="53"/>
    </row>
    <row r="15" spans="1:13" s="2" customFormat="1" ht="21" customHeight="1" x14ac:dyDescent="0.2">
      <c r="A15" s="197" t="s">
        <v>8</v>
      </c>
      <c r="B15" s="197"/>
      <c r="C15" s="197"/>
      <c r="D15" s="197"/>
      <c r="E15" s="197"/>
      <c r="F15" s="25"/>
      <c r="G15" s="25"/>
      <c r="H15" s="25"/>
      <c r="I15" s="25"/>
      <c r="J15" s="25"/>
      <c r="K15" s="25"/>
      <c r="L15" s="25"/>
      <c r="M15" s="53"/>
    </row>
    <row r="16" spans="1:13" s="2" customFormat="1" ht="25.5" customHeight="1" x14ac:dyDescent="0.2">
      <c r="A16" s="27"/>
      <c r="B16" s="28" t="s">
        <v>116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53"/>
    </row>
    <row r="17" spans="1:21" s="24" customFormat="1" ht="20.45" customHeight="1" x14ac:dyDescent="0.45">
      <c r="A17" s="198" t="s">
        <v>9</v>
      </c>
      <c r="B17" s="198" t="s">
        <v>10</v>
      </c>
      <c r="C17" s="198" t="s">
        <v>11</v>
      </c>
      <c r="D17" s="31" t="s">
        <v>22</v>
      </c>
      <c r="E17" s="198" t="s">
        <v>12</v>
      </c>
      <c r="F17" s="198"/>
      <c r="G17" s="198"/>
      <c r="H17" s="198"/>
      <c r="I17" s="198"/>
      <c r="J17" s="196" t="s">
        <v>13</v>
      </c>
      <c r="K17" s="196" t="s">
        <v>14</v>
      </c>
      <c r="L17" s="196" t="s">
        <v>15</v>
      </c>
    </row>
    <row r="18" spans="1:21" s="24" customFormat="1" x14ac:dyDescent="0.45">
      <c r="A18" s="198"/>
      <c r="B18" s="198"/>
      <c r="C18" s="198"/>
      <c r="D18" s="33" t="s">
        <v>23</v>
      </c>
      <c r="E18" s="32">
        <v>2566</v>
      </c>
      <c r="F18" s="30">
        <v>2567</v>
      </c>
      <c r="G18" s="32">
        <v>2568</v>
      </c>
      <c r="H18" s="30">
        <v>2569</v>
      </c>
      <c r="I18" s="32">
        <v>2570</v>
      </c>
      <c r="J18" s="196"/>
      <c r="K18" s="196"/>
      <c r="L18" s="196"/>
    </row>
    <row r="19" spans="1:21" s="24" customFormat="1" x14ac:dyDescent="0.45">
      <c r="A19" s="198"/>
      <c r="B19" s="198"/>
      <c r="C19" s="198"/>
      <c r="D19" s="35" t="s">
        <v>10</v>
      </c>
      <c r="E19" s="30" t="s">
        <v>16</v>
      </c>
      <c r="F19" s="30" t="s">
        <v>16</v>
      </c>
      <c r="G19" s="30" t="s">
        <v>16</v>
      </c>
      <c r="H19" s="30" t="s">
        <v>16</v>
      </c>
      <c r="I19" s="30" t="s">
        <v>16</v>
      </c>
      <c r="J19" s="196"/>
      <c r="K19" s="196"/>
      <c r="L19" s="196"/>
    </row>
    <row r="20" spans="1:21" s="2" customFormat="1" ht="21" customHeight="1" x14ac:dyDescent="0.45">
      <c r="A20" s="16">
        <v>1</v>
      </c>
      <c r="B20" s="98" t="s">
        <v>89</v>
      </c>
      <c r="C20" s="39" t="s">
        <v>58</v>
      </c>
      <c r="D20" s="5" t="s">
        <v>59</v>
      </c>
      <c r="E20" s="13"/>
      <c r="F20" s="14"/>
      <c r="G20" s="15"/>
      <c r="H20" s="15">
        <v>400000</v>
      </c>
      <c r="I20" s="15"/>
      <c r="J20" s="39" t="s">
        <v>17</v>
      </c>
      <c r="K20" s="39" t="s">
        <v>60</v>
      </c>
      <c r="L20" s="5" t="s">
        <v>61</v>
      </c>
      <c r="N20" s="3"/>
      <c r="O20" s="4"/>
      <c r="P20" s="4"/>
      <c r="Q20" s="4"/>
      <c r="R20" s="10"/>
      <c r="S20" s="3"/>
      <c r="T20" s="3"/>
      <c r="U20" s="3"/>
    </row>
    <row r="21" spans="1:21" ht="21" customHeight="1" x14ac:dyDescent="0.45">
      <c r="A21" s="11"/>
      <c r="B21" s="7" t="s">
        <v>120</v>
      </c>
      <c r="C21" s="39" t="s">
        <v>62</v>
      </c>
      <c r="D21" s="5" t="s">
        <v>121</v>
      </c>
      <c r="E21" s="5"/>
      <c r="F21" s="5"/>
      <c r="G21" s="5"/>
      <c r="H21" s="7"/>
      <c r="I21" s="5"/>
      <c r="J21" s="39" t="s">
        <v>63</v>
      </c>
      <c r="K21" s="39" t="s">
        <v>64</v>
      </c>
      <c r="L21" s="5"/>
      <c r="N21" s="3"/>
      <c r="S21" s="3"/>
      <c r="T21" s="3"/>
      <c r="U21" s="3"/>
    </row>
    <row r="22" spans="1:21" ht="21" customHeight="1" x14ac:dyDescent="0.45">
      <c r="A22" s="11"/>
      <c r="B22" s="6"/>
      <c r="C22" s="39" t="s">
        <v>65</v>
      </c>
      <c r="D22" s="5"/>
      <c r="E22" s="5"/>
      <c r="F22" s="5"/>
      <c r="G22" s="5"/>
      <c r="H22" s="5"/>
      <c r="I22" s="5"/>
      <c r="J22" s="39" t="s">
        <v>66</v>
      </c>
      <c r="K22" s="5"/>
      <c r="L22" s="5"/>
      <c r="N22" s="3"/>
      <c r="S22" s="3"/>
      <c r="T22" s="3"/>
      <c r="U22" s="3"/>
    </row>
    <row r="23" spans="1:21" ht="21" customHeight="1" x14ac:dyDescent="0.45">
      <c r="A23" s="12"/>
      <c r="B23" s="8"/>
      <c r="C23" s="9"/>
      <c r="D23" s="9"/>
      <c r="E23" s="9"/>
      <c r="F23" s="9"/>
      <c r="G23" s="9"/>
      <c r="H23" s="9"/>
      <c r="I23" s="9"/>
      <c r="J23" s="41" t="s">
        <v>67</v>
      </c>
      <c r="K23" s="9"/>
      <c r="L23" s="9"/>
      <c r="N23" s="3"/>
      <c r="S23" s="3"/>
      <c r="T23" s="3"/>
      <c r="U23" s="3"/>
    </row>
    <row r="24" spans="1:21" s="24" customFormat="1" ht="20.45" customHeight="1" x14ac:dyDescent="0.45">
      <c r="A24" s="198" t="s">
        <v>9</v>
      </c>
      <c r="B24" s="198" t="s">
        <v>10</v>
      </c>
      <c r="C24" s="198" t="s">
        <v>11</v>
      </c>
      <c r="D24" s="31" t="s">
        <v>22</v>
      </c>
      <c r="E24" s="198" t="s">
        <v>12</v>
      </c>
      <c r="F24" s="198"/>
      <c r="G24" s="198"/>
      <c r="H24" s="198"/>
      <c r="I24" s="198"/>
      <c r="J24" s="196" t="s">
        <v>13</v>
      </c>
      <c r="K24" s="196" t="s">
        <v>14</v>
      </c>
      <c r="L24" s="196" t="s">
        <v>15</v>
      </c>
    </row>
    <row r="25" spans="1:21" s="24" customFormat="1" x14ac:dyDescent="0.45">
      <c r="A25" s="198"/>
      <c r="B25" s="198"/>
      <c r="C25" s="198"/>
      <c r="D25" s="33" t="s">
        <v>23</v>
      </c>
      <c r="E25" s="32">
        <v>2566</v>
      </c>
      <c r="F25" s="30">
        <v>2567</v>
      </c>
      <c r="G25" s="32">
        <v>2568</v>
      </c>
      <c r="H25" s="30">
        <v>2569</v>
      </c>
      <c r="I25" s="32">
        <v>2570</v>
      </c>
      <c r="J25" s="196"/>
      <c r="K25" s="196"/>
      <c r="L25" s="196"/>
    </row>
    <row r="26" spans="1:21" s="24" customFormat="1" x14ac:dyDescent="0.45">
      <c r="A26" s="198"/>
      <c r="B26" s="198"/>
      <c r="C26" s="198"/>
      <c r="D26" s="35" t="s">
        <v>10</v>
      </c>
      <c r="E26" s="30" t="s">
        <v>16</v>
      </c>
      <c r="F26" s="30" t="s">
        <v>16</v>
      </c>
      <c r="G26" s="30" t="s">
        <v>16</v>
      </c>
      <c r="H26" s="30" t="s">
        <v>16</v>
      </c>
      <c r="I26" s="30" t="s">
        <v>16</v>
      </c>
      <c r="J26" s="196"/>
      <c r="K26" s="196"/>
      <c r="L26" s="196"/>
    </row>
    <row r="27" spans="1:21" s="105" customFormat="1" x14ac:dyDescent="0.45">
      <c r="A27" s="11">
        <v>2</v>
      </c>
      <c r="B27" s="98" t="s">
        <v>122</v>
      </c>
      <c r="C27" s="109" t="s">
        <v>75</v>
      </c>
      <c r="D27" s="110" t="s">
        <v>125</v>
      </c>
      <c r="E27" s="111"/>
      <c r="F27" s="111"/>
      <c r="G27" s="111"/>
      <c r="H27" s="111">
        <v>150000</v>
      </c>
      <c r="I27" s="111"/>
      <c r="J27" s="104" t="s">
        <v>17</v>
      </c>
      <c r="K27" s="104" t="s">
        <v>81</v>
      </c>
      <c r="L27" s="103" t="s">
        <v>61</v>
      </c>
    </row>
    <row r="28" spans="1:21" s="105" customFormat="1" x14ac:dyDescent="0.45">
      <c r="A28" s="121"/>
      <c r="B28" s="108" t="s">
        <v>123</v>
      </c>
      <c r="C28" s="109" t="s">
        <v>76</v>
      </c>
      <c r="D28" s="104" t="s">
        <v>126</v>
      </c>
      <c r="E28" s="112"/>
      <c r="F28" s="112"/>
      <c r="G28" s="112"/>
      <c r="H28" s="112"/>
      <c r="I28" s="112"/>
      <c r="J28" s="104" t="s">
        <v>18</v>
      </c>
      <c r="K28" s="104" t="s">
        <v>82</v>
      </c>
      <c r="L28" s="106"/>
    </row>
    <row r="29" spans="1:21" s="105" customFormat="1" x14ac:dyDescent="0.45">
      <c r="A29" s="121"/>
      <c r="B29" s="108" t="s">
        <v>124</v>
      </c>
      <c r="C29" s="109" t="s">
        <v>77</v>
      </c>
      <c r="D29" s="104"/>
      <c r="E29" s="112"/>
      <c r="F29" s="112"/>
      <c r="G29" s="112"/>
      <c r="H29" s="112"/>
      <c r="I29" s="112"/>
      <c r="J29" s="104" t="s">
        <v>83</v>
      </c>
      <c r="K29" s="104" t="s">
        <v>80</v>
      </c>
      <c r="L29" s="106"/>
    </row>
    <row r="30" spans="1:21" s="105" customFormat="1" ht="16.5" customHeight="1" x14ac:dyDescent="0.45">
      <c r="A30" s="116"/>
      <c r="B30" s="113"/>
      <c r="C30" s="117"/>
      <c r="D30" s="107"/>
      <c r="E30" s="114"/>
      <c r="F30" s="114"/>
      <c r="G30" s="114"/>
      <c r="H30" s="114"/>
      <c r="I30" s="114"/>
      <c r="J30" s="115" t="s">
        <v>84</v>
      </c>
      <c r="K30" s="115"/>
      <c r="L30" s="107"/>
    </row>
    <row r="31" spans="1:21" s="105" customFormat="1" x14ac:dyDescent="0.45">
      <c r="A31" s="11">
        <v>3</v>
      </c>
      <c r="B31" s="98" t="s">
        <v>92</v>
      </c>
      <c r="C31" s="109" t="s">
        <v>75</v>
      </c>
      <c r="D31" s="110" t="s">
        <v>128</v>
      </c>
      <c r="E31" s="111"/>
      <c r="F31" s="111"/>
      <c r="G31" s="111"/>
      <c r="H31" s="111">
        <v>100000</v>
      </c>
      <c r="I31" s="111"/>
      <c r="J31" s="104" t="s">
        <v>17</v>
      </c>
      <c r="K31" s="104" t="s">
        <v>81</v>
      </c>
      <c r="L31" s="103" t="s">
        <v>61</v>
      </c>
    </row>
    <row r="32" spans="1:21" s="105" customFormat="1" x14ac:dyDescent="0.45">
      <c r="A32" s="121"/>
      <c r="B32" s="108" t="s">
        <v>127</v>
      </c>
      <c r="C32" s="109" t="s">
        <v>76</v>
      </c>
      <c r="D32" s="104" t="s">
        <v>86</v>
      </c>
      <c r="E32" s="112"/>
      <c r="F32" s="112"/>
      <c r="G32" s="112"/>
      <c r="H32" s="112"/>
      <c r="I32" s="112"/>
      <c r="J32" s="104" t="s">
        <v>18</v>
      </c>
      <c r="K32" s="104" t="s">
        <v>82</v>
      </c>
      <c r="L32" s="106"/>
    </row>
    <row r="33" spans="1:12" s="105" customFormat="1" x14ac:dyDescent="0.45">
      <c r="A33" s="121"/>
      <c r="B33" s="108"/>
      <c r="C33" s="109" t="s">
        <v>77</v>
      </c>
      <c r="D33" s="104" t="s">
        <v>114</v>
      </c>
      <c r="E33" s="112"/>
      <c r="F33" s="112"/>
      <c r="G33" s="112"/>
      <c r="H33" s="112"/>
      <c r="I33" s="112"/>
      <c r="J33" s="104" t="s">
        <v>83</v>
      </c>
      <c r="K33" s="104" t="s">
        <v>80</v>
      </c>
      <c r="L33" s="106"/>
    </row>
    <row r="34" spans="1:12" s="105" customFormat="1" ht="16.5" customHeight="1" x14ac:dyDescent="0.45">
      <c r="A34" s="116"/>
      <c r="B34" s="113"/>
      <c r="C34" s="117"/>
      <c r="D34" s="107"/>
      <c r="E34" s="114"/>
      <c r="F34" s="114"/>
      <c r="G34" s="114"/>
      <c r="H34" s="114"/>
      <c r="I34" s="114"/>
      <c r="J34" s="115" t="s">
        <v>84</v>
      </c>
      <c r="K34" s="115"/>
      <c r="L34" s="107"/>
    </row>
    <row r="35" spans="1:12" s="105" customFormat="1" x14ac:dyDescent="0.45">
      <c r="A35" s="11">
        <v>4</v>
      </c>
      <c r="B35" s="98" t="s">
        <v>129</v>
      </c>
      <c r="C35" s="109" t="s">
        <v>75</v>
      </c>
      <c r="D35" s="110" t="s">
        <v>132</v>
      </c>
      <c r="E35" s="111"/>
      <c r="F35" s="111"/>
      <c r="G35" s="111"/>
      <c r="H35" s="128">
        <v>1100000</v>
      </c>
      <c r="I35" s="111"/>
      <c r="J35" s="104" t="s">
        <v>17</v>
      </c>
      <c r="K35" s="104" t="s">
        <v>81</v>
      </c>
      <c r="L35" s="103" t="s">
        <v>61</v>
      </c>
    </row>
    <row r="36" spans="1:12" s="105" customFormat="1" x14ac:dyDescent="0.45">
      <c r="A36" s="121"/>
      <c r="B36" s="108" t="s">
        <v>130</v>
      </c>
      <c r="C36" s="109" t="s">
        <v>76</v>
      </c>
      <c r="D36" s="104" t="s">
        <v>131</v>
      </c>
      <c r="E36" s="112"/>
      <c r="F36" s="112"/>
      <c r="G36" s="112"/>
      <c r="H36" s="112"/>
      <c r="I36" s="112"/>
      <c r="J36" s="104" t="s">
        <v>18</v>
      </c>
      <c r="K36" s="104" t="s">
        <v>82</v>
      </c>
      <c r="L36" s="106"/>
    </row>
    <row r="37" spans="1:12" s="105" customFormat="1" x14ac:dyDescent="0.45">
      <c r="A37" s="121"/>
      <c r="B37" s="108"/>
      <c r="C37" s="109" t="s">
        <v>77</v>
      </c>
      <c r="D37" s="104"/>
      <c r="E37" s="112"/>
      <c r="F37" s="112"/>
      <c r="G37" s="112"/>
      <c r="H37" s="112"/>
      <c r="I37" s="112"/>
      <c r="J37" s="104" t="s">
        <v>83</v>
      </c>
      <c r="K37" s="104" t="s">
        <v>80</v>
      </c>
      <c r="L37" s="106"/>
    </row>
    <row r="38" spans="1:12" s="105" customFormat="1" ht="16.5" customHeight="1" x14ac:dyDescent="0.45">
      <c r="A38" s="116"/>
      <c r="B38" s="113"/>
      <c r="C38" s="117"/>
      <c r="D38" s="107"/>
      <c r="E38" s="114"/>
      <c r="F38" s="114"/>
      <c r="G38" s="114"/>
      <c r="H38" s="114"/>
      <c r="I38" s="114"/>
      <c r="J38" s="115" t="s">
        <v>84</v>
      </c>
      <c r="K38" s="115"/>
      <c r="L38" s="107"/>
    </row>
    <row r="39" spans="1:12" s="105" customFormat="1" x14ac:dyDescent="0.45">
      <c r="A39" s="11">
        <v>5</v>
      </c>
      <c r="B39" s="98" t="s">
        <v>129</v>
      </c>
      <c r="C39" s="109" t="s">
        <v>75</v>
      </c>
      <c r="D39" s="110" t="s">
        <v>133</v>
      </c>
      <c r="E39" s="111"/>
      <c r="F39" s="111"/>
      <c r="G39" s="111"/>
      <c r="H39" s="111">
        <v>150000</v>
      </c>
      <c r="I39" s="111"/>
      <c r="J39" s="104" t="s">
        <v>17</v>
      </c>
      <c r="K39" s="104" t="s">
        <v>81</v>
      </c>
      <c r="L39" s="103" t="s">
        <v>61</v>
      </c>
    </row>
    <row r="40" spans="1:12" s="105" customFormat="1" x14ac:dyDescent="0.45">
      <c r="A40" s="121"/>
      <c r="B40" s="108" t="s">
        <v>68</v>
      </c>
      <c r="C40" s="109" t="s">
        <v>76</v>
      </c>
      <c r="D40" s="104" t="s">
        <v>134</v>
      </c>
      <c r="E40" s="112"/>
      <c r="F40" s="112"/>
      <c r="G40" s="112"/>
      <c r="H40" s="112"/>
      <c r="I40" s="112"/>
      <c r="J40" s="104" t="s">
        <v>18</v>
      </c>
      <c r="K40" s="104" t="s">
        <v>82</v>
      </c>
      <c r="L40" s="106"/>
    </row>
    <row r="41" spans="1:12" s="105" customFormat="1" x14ac:dyDescent="0.45">
      <c r="A41" s="121"/>
      <c r="B41" s="108"/>
      <c r="C41" s="109" t="s">
        <v>77</v>
      </c>
      <c r="D41" s="104"/>
      <c r="E41" s="112"/>
      <c r="F41" s="112"/>
      <c r="G41" s="112"/>
      <c r="H41" s="112"/>
      <c r="I41" s="112"/>
      <c r="J41" s="104" t="s">
        <v>83</v>
      </c>
      <c r="K41" s="104" t="s">
        <v>80</v>
      </c>
      <c r="L41" s="106"/>
    </row>
    <row r="42" spans="1:12" s="105" customFormat="1" ht="16.5" customHeight="1" x14ac:dyDescent="0.45">
      <c r="A42" s="116"/>
      <c r="B42" s="113"/>
      <c r="C42" s="117"/>
      <c r="D42" s="107"/>
      <c r="E42" s="114"/>
      <c r="F42" s="114"/>
      <c r="G42" s="114"/>
      <c r="H42" s="114"/>
      <c r="I42" s="114"/>
      <c r="J42" s="115" t="s">
        <v>84</v>
      </c>
      <c r="K42" s="115"/>
      <c r="L42" s="107"/>
    </row>
    <row r="43" spans="1:12" s="24" customFormat="1" x14ac:dyDescent="0.45">
      <c r="A43" s="192" t="s">
        <v>31</v>
      </c>
      <c r="B43" s="192"/>
      <c r="C43" s="192"/>
      <c r="D43" s="192"/>
      <c r="E43" s="122">
        <f>SUM(E20,E27,E31,E35,E39)</f>
        <v>0</v>
      </c>
      <c r="F43" s="122">
        <f t="shared" ref="F43:I43" si="0">SUM(F20,F27,F31,F35,F39)</f>
        <v>0</v>
      </c>
      <c r="G43" s="122">
        <f t="shared" si="0"/>
        <v>0</v>
      </c>
      <c r="H43" s="101">
        <f t="shared" si="0"/>
        <v>1900000</v>
      </c>
      <c r="I43" s="122">
        <f t="shared" si="0"/>
        <v>0</v>
      </c>
      <c r="J43" s="193"/>
      <c r="K43" s="194"/>
      <c r="L43" s="195"/>
    </row>
    <row r="44" spans="1:12" s="24" customFormat="1" x14ac:dyDescent="0.45">
      <c r="A44" s="3"/>
      <c r="B44" s="20"/>
      <c r="C44" s="48"/>
      <c r="D44" s="48"/>
      <c r="E44" s="49"/>
      <c r="F44" s="49"/>
      <c r="G44" s="49"/>
      <c r="H44" s="49"/>
      <c r="I44" s="49"/>
      <c r="J44" s="47"/>
      <c r="K44" s="47"/>
      <c r="L44" s="47"/>
    </row>
  </sheetData>
  <mergeCells count="31">
    <mergeCell ref="A13:G13"/>
    <mergeCell ref="A15:E15"/>
    <mergeCell ref="A14:G14"/>
    <mergeCell ref="A12:L12"/>
    <mergeCell ref="A1:L1"/>
    <mergeCell ref="A2:L2"/>
    <mergeCell ref="A3:L3"/>
    <mergeCell ref="A4:L4"/>
    <mergeCell ref="A5:L5"/>
    <mergeCell ref="B6:M6"/>
    <mergeCell ref="B7:M7"/>
    <mergeCell ref="A8:L8"/>
    <mergeCell ref="A9:L9"/>
    <mergeCell ref="A10:L10"/>
    <mergeCell ref="A11:L11"/>
    <mergeCell ref="L17:L19"/>
    <mergeCell ref="A17:A19"/>
    <mergeCell ref="B17:B19"/>
    <mergeCell ref="C17:C19"/>
    <mergeCell ref="E17:I17"/>
    <mergeCell ref="J17:J19"/>
    <mergeCell ref="K17:K19"/>
    <mergeCell ref="J24:J26"/>
    <mergeCell ref="K24:K26"/>
    <mergeCell ref="L24:L26"/>
    <mergeCell ref="A43:D43"/>
    <mergeCell ref="A24:A26"/>
    <mergeCell ref="B24:B26"/>
    <mergeCell ref="C24:C26"/>
    <mergeCell ref="E24:I24"/>
    <mergeCell ref="J43:L43"/>
  </mergeCells>
  <phoneticPr fontId="7" type="noConversion"/>
  <pageMargins left="0.25" right="0.25" top="0.75" bottom="0.75" header="0.3" footer="0.3"/>
  <pageSetup paperSize="9" orientation="landscape" horizontalDpi="4294967293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F895-BD6D-4A5F-9290-440103FC233F}">
  <dimension ref="A1:U58"/>
  <sheetViews>
    <sheetView view="pageLayout" topLeftCell="A61" zoomScaleNormal="100" workbookViewId="0">
      <selection activeCell="Q50" sqref="Q50"/>
    </sheetView>
  </sheetViews>
  <sheetFormatPr defaultColWidth="8.625" defaultRowHeight="21" x14ac:dyDescent="0.45"/>
  <cols>
    <col min="1" max="1" width="4.125" style="3" customWidth="1"/>
    <col min="2" max="2" width="31.875" style="4" customWidth="1"/>
    <col min="3" max="4" width="15.375" style="4" customWidth="1"/>
    <col min="5" max="7" width="5.875" style="4" customWidth="1"/>
    <col min="8" max="8" width="6.625" style="4" customWidth="1"/>
    <col min="9" max="9" width="5.875" style="4" customWidth="1"/>
    <col min="10" max="10" width="12.125" style="4" customWidth="1"/>
    <col min="11" max="11" width="15.25" style="4" customWidth="1"/>
    <col min="12" max="12" width="8.625" style="4" customWidth="1"/>
    <col min="13" max="16384" width="8.625" style="4"/>
  </cols>
  <sheetData>
    <row r="1" spans="1:13" s="24" customFormat="1" x14ac:dyDescent="0.45">
      <c r="A1" s="200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53"/>
    </row>
    <row r="2" spans="1:13" s="24" customFormat="1" x14ac:dyDescent="0.45">
      <c r="A2" s="200" t="s">
        <v>252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53"/>
    </row>
    <row r="3" spans="1:13" s="24" customFormat="1" ht="18" customHeight="1" x14ac:dyDescent="0.45">
      <c r="A3" s="200" t="s">
        <v>19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53"/>
    </row>
    <row r="4" spans="1:13" s="26" customFormat="1" x14ac:dyDescent="0.45">
      <c r="A4" s="197" t="s">
        <v>1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52"/>
    </row>
    <row r="5" spans="1:13" s="26" customFormat="1" x14ac:dyDescent="0.45">
      <c r="A5" s="197" t="s">
        <v>2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52"/>
    </row>
    <row r="6" spans="1:13" s="26" customFormat="1" x14ac:dyDescent="0.45">
      <c r="A6" s="27"/>
      <c r="B6" s="199" t="s">
        <v>3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</row>
    <row r="7" spans="1:13" s="26" customFormat="1" x14ac:dyDescent="0.45">
      <c r="A7" s="27"/>
      <c r="B7" s="199" t="s">
        <v>4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</row>
    <row r="8" spans="1:13" s="24" customFormat="1" x14ac:dyDescent="0.45">
      <c r="A8" s="197" t="s">
        <v>5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53"/>
    </row>
    <row r="9" spans="1:13" s="24" customFormat="1" x14ac:dyDescent="0.45">
      <c r="A9" s="197" t="s">
        <v>6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53"/>
    </row>
    <row r="10" spans="1:13" s="26" customFormat="1" x14ac:dyDescent="0.45">
      <c r="A10" s="197" t="s">
        <v>7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52"/>
    </row>
    <row r="11" spans="1:13" s="24" customFormat="1" x14ac:dyDescent="0.45">
      <c r="A11" s="197" t="s">
        <v>20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53"/>
    </row>
    <row r="12" spans="1:13" s="24" customFormat="1" x14ac:dyDescent="0.45">
      <c r="A12" s="197" t="s">
        <v>27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53"/>
    </row>
    <row r="13" spans="1:13" s="24" customFormat="1" x14ac:dyDescent="0.45">
      <c r="A13" s="197" t="s">
        <v>28</v>
      </c>
      <c r="B13" s="197"/>
      <c r="C13" s="197"/>
      <c r="D13" s="197"/>
      <c r="E13" s="197"/>
      <c r="F13" s="197"/>
      <c r="G13" s="197"/>
      <c r="H13" s="25"/>
      <c r="I13" s="25"/>
      <c r="J13" s="25"/>
      <c r="K13" s="25"/>
      <c r="L13" s="25"/>
      <c r="M13" s="53"/>
    </row>
    <row r="14" spans="1:13" s="24" customFormat="1" x14ac:dyDescent="0.45">
      <c r="A14" s="197" t="s">
        <v>32</v>
      </c>
      <c r="B14" s="197"/>
      <c r="C14" s="197"/>
      <c r="D14" s="197"/>
      <c r="E14" s="197"/>
      <c r="F14" s="197"/>
      <c r="G14" s="197"/>
      <c r="H14" s="25"/>
      <c r="I14" s="25"/>
      <c r="J14" s="25"/>
      <c r="K14" s="25"/>
      <c r="L14" s="25"/>
      <c r="M14" s="53"/>
    </row>
    <row r="15" spans="1:13" s="2" customFormat="1" ht="21" customHeight="1" x14ac:dyDescent="0.2">
      <c r="A15" s="197" t="s">
        <v>8</v>
      </c>
      <c r="B15" s="197"/>
      <c r="C15" s="197"/>
      <c r="D15" s="197"/>
      <c r="E15" s="197"/>
      <c r="F15" s="25"/>
      <c r="G15" s="25"/>
      <c r="H15" s="25"/>
      <c r="I15" s="25"/>
      <c r="J15" s="25"/>
      <c r="K15" s="25"/>
      <c r="L15" s="25"/>
      <c r="M15" s="53"/>
    </row>
    <row r="16" spans="1:13" s="24" customFormat="1" x14ac:dyDescent="0.45">
      <c r="A16" s="25"/>
      <c r="B16" s="28" t="s">
        <v>115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53"/>
    </row>
    <row r="17" spans="1:21" s="24" customFormat="1" ht="20.45" customHeight="1" x14ac:dyDescent="0.45">
      <c r="A17" s="198" t="s">
        <v>9</v>
      </c>
      <c r="B17" s="198" t="s">
        <v>10</v>
      </c>
      <c r="C17" s="198" t="s">
        <v>11</v>
      </c>
      <c r="D17" s="31" t="s">
        <v>22</v>
      </c>
      <c r="E17" s="198" t="s">
        <v>12</v>
      </c>
      <c r="F17" s="198"/>
      <c r="G17" s="198"/>
      <c r="H17" s="198"/>
      <c r="I17" s="198"/>
      <c r="J17" s="196" t="s">
        <v>13</v>
      </c>
      <c r="K17" s="196" t="s">
        <v>14</v>
      </c>
      <c r="L17" s="196" t="s">
        <v>15</v>
      </c>
    </row>
    <row r="18" spans="1:21" s="24" customFormat="1" x14ac:dyDescent="0.45">
      <c r="A18" s="198"/>
      <c r="B18" s="198"/>
      <c r="C18" s="198"/>
      <c r="D18" s="33" t="s">
        <v>23</v>
      </c>
      <c r="E18" s="32">
        <v>2566</v>
      </c>
      <c r="F18" s="30">
        <v>2567</v>
      </c>
      <c r="G18" s="32">
        <v>2568</v>
      </c>
      <c r="H18" s="30">
        <v>2569</v>
      </c>
      <c r="I18" s="32">
        <v>2570</v>
      </c>
      <c r="J18" s="196"/>
      <c r="K18" s="196"/>
      <c r="L18" s="196"/>
    </row>
    <row r="19" spans="1:21" s="24" customFormat="1" x14ac:dyDescent="0.45">
      <c r="A19" s="198"/>
      <c r="B19" s="198"/>
      <c r="C19" s="198"/>
      <c r="D19" s="35" t="s">
        <v>10</v>
      </c>
      <c r="E19" s="30" t="s">
        <v>16</v>
      </c>
      <c r="F19" s="30" t="s">
        <v>16</v>
      </c>
      <c r="G19" s="30" t="s">
        <v>16</v>
      </c>
      <c r="H19" s="30" t="s">
        <v>16</v>
      </c>
      <c r="I19" s="30" t="s">
        <v>16</v>
      </c>
      <c r="J19" s="196"/>
      <c r="K19" s="196"/>
      <c r="L19" s="196"/>
    </row>
    <row r="20" spans="1:21" s="105" customFormat="1" x14ac:dyDescent="0.45">
      <c r="A20" s="11">
        <v>1</v>
      </c>
      <c r="B20" s="98" t="s">
        <v>122</v>
      </c>
      <c r="C20" s="109" t="s">
        <v>75</v>
      </c>
      <c r="D20" s="110" t="s">
        <v>137</v>
      </c>
      <c r="E20" s="111"/>
      <c r="F20" s="111"/>
      <c r="G20" s="111"/>
      <c r="H20" s="111">
        <v>500000</v>
      </c>
      <c r="I20" s="111"/>
      <c r="J20" s="104" t="s">
        <v>17</v>
      </c>
      <c r="K20" s="104" t="s">
        <v>81</v>
      </c>
      <c r="L20" s="103" t="s">
        <v>61</v>
      </c>
    </row>
    <row r="21" spans="1:21" s="105" customFormat="1" x14ac:dyDescent="0.45">
      <c r="A21" s="121"/>
      <c r="B21" s="108" t="s">
        <v>135</v>
      </c>
      <c r="C21" s="109" t="s">
        <v>76</v>
      </c>
      <c r="D21" s="104" t="s">
        <v>138</v>
      </c>
      <c r="E21" s="112"/>
      <c r="F21" s="112"/>
      <c r="G21" s="112"/>
      <c r="H21" s="112"/>
      <c r="I21" s="112"/>
      <c r="J21" s="104" t="s">
        <v>18</v>
      </c>
      <c r="K21" s="104" t="s">
        <v>82</v>
      </c>
      <c r="L21" s="106"/>
    </row>
    <row r="22" spans="1:21" s="105" customFormat="1" x14ac:dyDescent="0.45">
      <c r="A22" s="121"/>
      <c r="B22" s="108" t="s">
        <v>136</v>
      </c>
      <c r="C22" s="109" t="s">
        <v>77</v>
      </c>
      <c r="D22" s="104"/>
      <c r="E22" s="112"/>
      <c r="F22" s="112"/>
      <c r="G22" s="112"/>
      <c r="H22" s="112"/>
      <c r="I22" s="112"/>
      <c r="J22" s="104" t="s">
        <v>83</v>
      </c>
      <c r="K22" s="104" t="s">
        <v>80</v>
      </c>
      <c r="L22" s="106"/>
    </row>
    <row r="23" spans="1:21" s="105" customFormat="1" ht="16.5" customHeight="1" x14ac:dyDescent="0.45">
      <c r="A23" s="116"/>
      <c r="B23" s="113"/>
      <c r="C23" s="117"/>
      <c r="D23" s="107"/>
      <c r="E23" s="114"/>
      <c r="F23" s="114"/>
      <c r="G23" s="114"/>
      <c r="H23" s="114"/>
      <c r="I23" s="114"/>
      <c r="J23" s="115" t="s">
        <v>84</v>
      </c>
      <c r="K23" s="115"/>
      <c r="L23" s="107"/>
    </row>
    <row r="24" spans="1:21" s="24" customFormat="1" ht="20.45" customHeight="1" x14ac:dyDescent="0.45">
      <c r="A24" s="198" t="s">
        <v>9</v>
      </c>
      <c r="B24" s="198" t="s">
        <v>10</v>
      </c>
      <c r="C24" s="198" t="s">
        <v>11</v>
      </c>
      <c r="D24" s="31" t="s">
        <v>22</v>
      </c>
      <c r="E24" s="198" t="s">
        <v>12</v>
      </c>
      <c r="F24" s="198"/>
      <c r="G24" s="198"/>
      <c r="H24" s="198"/>
      <c r="I24" s="198"/>
      <c r="J24" s="196" t="s">
        <v>13</v>
      </c>
      <c r="K24" s="196" t="s">
        <v>14</v>
      </c>
      <c r="L24" s="196" t="s">
        <v>15</v>
      </c>
    </row>
    <row r="25" spans="1:21" s="24" customFormat="1" x14ac:dyDescent="0.45">
      <c r="A25" s="198"/>
      <c r="B25" s="198"/>
      <c r="C25" s="198"/>
      <c r="D25" s="33" t="s">
        <v>23</v>
      </c>
      <c r="E25" s="32">
        <v>2566</v>
      </c>
      <c r="F25" s="30">
        <v>2567</v>
      </c>
      <c r="G25" s="32">
        <v>2568</v>
      </c>
      <c r="H25" s="30">
        <v>2569</v>
      </c>
      <c r="I25" s="32">
        <v>2570</v>
      </c>
      <c r="J25" s="196"/>
      <c r="K25" s="196"/>
      <c r="L25" s="196"/>
    </row>
    <row r="26" spans="1:21" s="24" customFormat="1" x14ac:dyDescent="0.45">
      <c r="A26" s="198"/>
      <c r="B26" s="198"/>
      <c r="C26" s="198"/>
      <c r="D26" s="35" t="s">
        <v>10</v>
      </c>
      <c r="E26" s="30" t="s">
        <v>16</v>
      </c>
      <c r="F26" s="30" t="s">
        <v>16</v>
      </c>
      <c r="G26" s="30" t="s">
        <v>16</v>
      </c>
      <c r="H26" s="30" t="s">
        <v>16</v>
      </c>
      <c r="I26" s="30" t="s">
        <v>16</v>
      </c>
      <c r="J26" s="196"/>
      <c r="K26" s="196"/>
      <c r="L26" s="196"/>
    </row>
    <row r="27" spans="1:21" s="105" customFormat="1" x14ac:dyDescent="0.45">
      <c r="A27" s="11">
        <v>2</v>
      </c>
      <c r="B27" s="98" t="s">
        <v>139</v>
      </c>
      <c r="C27" s="109" t="s">
        <v>75</v>
      </c>
      <c r="D27" s="110" t="s">
        <v>140</v>
      </c>
      <c r="E27" s="111"/>
      <c r="F27" s="111"/>
      <c r="G27" s="111"/>
      <c r="H27" s="111">
        <v>600000</v>
      </c>
      <c r="I27" s="111"/>
      <c r="J27" s="104" t="s">
        <v>17</v>
      </c>
      <c r="K27" s="104" t="s">
        <v>81</v>
      </c>
      <c r="L27" s="103" t="s">
        <v>61</v>
      </c>
    </row>
    <row r="28" spans="1:21" s="105" customFormat="1" x14ac:dyDescent="0.45">
      <c r="A28" s="121"/>
      <c r="B28" s="108" t="s">
        <v>253</v>
      </c>
      <c r="C28" s="109" t="s">
        <v>76</v>
      </c>
      <c r="D28" s="104" t="s">
        <v>141</v>
      </c>
      <c r="E28" s="112"/>
      <c r="F28" s="112"/>
      <c r="G28" s="112"/>
      <c r="H28" s="112"/>
      <c r="I28" s="112"/>
      <c r="J28" s="104" t="s">
        <v>18</v>
      </c>
      <c r="K28" s="104" t="s">
        <v>82</v>
      </c>
      <c r="L28" s="106"/>
    </row>
    <row r="29" spans="1:21" s="105" customFormat="1" x14ac:dyDescent="0.45">
      <c r="A29" s="121"/>
      <c r="B29" s="108" t="s">
        <v>254</v>
      </c>
      <c r="C29" s="109" t="s">
        <v>77</v>
      </c>
      <c r="D29" s="104"/>
      <c r="E29" s="112"/>
      <c r="F29" s="112"/>
      <c r="G29" s="112"/>
      <c r="H29" s="112"/>
      <c r="I29" s="112"/>
      <c r="J29" s="104" t="s">
        <v>83</v>
      </c>
      <c r="K29" s="104" t="s">
        <v>80</v>
      </c>
      <c r="L29" s="106"/>
    </row>
    <row r="30" spans="1:21" s="105" customFormat="1" ht="16.5" customHeight="1" x14ac:dyDescent="0.45">
      <c r="A30" s="116"/>
      <c r="B30" s="113"/>
      <c r="C30" s="117"/>
      <c r="D30" s="107"/>
      <c r="E30" s="114"/>
      <c r="F30" s="114"/>
      <c r="G30" s="114"/>
      <c r="H30" s="114"/>
      <c r="I30" s="114"/>
      <c r="J30" s="115" t="s">
        <v>84</v>
      </c>
      <c r="K30" s="115"/>
      <c r="L30" s="107"/>
    </row>
    <row r="31" spans="1:21" s="2" customFormat="1" ht="21" customHeight="1" x14ac:dyDescent="0.45">
      <c r="A31" s="16">
        <v>3</v>
      </c>
      <c r="B31" s="98" t="s">
        <v>142</v>
      </c>
      <c r="C31" s="39" t="s">
        <v>58</v>
      </c>
      <c r="D31" s="5" t="s">
        <v>59</v>
      </c>
      <c r="E31" s="13"/>
      <c r="F31" s="14"/>
      <c r="G31" s="15"/>
      <c r="H31" s="127">
        <v>1800000</v>
      </c>
      <c r="I31" s="15"/>
      <c r="J31" s="39" t="s">
        <v>17</v>
      </c>
      <c r="K31" s="39" t="s">
        <v>60</v>
      </c>
      <c r="L31" s="5" t="s">
        <v>61</v>
      </c>
      <c r="N31" s="3"/>
      <c r="O31" s="4"/>
      <c r="P31" s="4"/>
      <c r="Q31" s="4"/>
      <c r="R31" s="10"/>
      <c r="S31" s="3"/>
      <c r="T31" s="3"/>
      <c r="U31" s="3"/>
    </row>
    <row r="32" spans="1:21" ht="21" customHeight="1" x14ac:dyDescent="0.45">
      <c r="A32" s="11"/>
      <c r="B32" s="7" t="s">
        <v>143</v>
      </c>
      <c r="C32" s="39" t="s">
        <v>62</v>
      </c>
      <c r="D32" s="5" t="s">
        <v>144</v>
      </c>
      <c r="E32" s="5"/>
      <c r="F32" s="5"/>
      <c r="G32" s="5"/>
      <c r="H32" s="7"/>
      <c r="I32" s="5"/>
      <c r="J32" s="39" t="s">
        <v>63</v>
      </c>
      <c r="K32" s="39" t="s">
        <v>64</v>
      </c>
      <c r="L32" s="5"/>
      <c r="N32" s="3"/>
      <c r="S32" s="3"/>
      <c r="T32" s="3"/>
      <c r="U32" s="3"/>
    </row>
    <row r="33" spans="1:21" ht="21" customHeight="1" x14ac:dyDescent="0.45">
      <c r="A33" s="11"/>
      <c r="B33" s="6"/>
      <c r="C33" s="39" t="s">
        <v>65</v>
      </c>
      <c r="D33" s="5"/>
      <c r="E33" s="5"/>
      <c r="F33" s="5"/>
      <c r="G33" s="5"/>
      <c r="H33" s="5"/>
      <c r="I33" s="5"/>
      <c r="J33" s="39" t="s">
        <v>66</v>
      </c>
      <c r="K33" s="5"/>
      <c r="L33" s="5"/>
      <c r="N33" s="3"/>
      <c r="S33" s="3"/>
      <c r="T33" s="3"/>
      <c r="U33" s="3"/>
    </row>
    <row r="34" spans="1:21" ht="21" customHeight="1" x14ac:dyDescent="0.45">
      <c r="A34" s="12"/>
      <c r="B34" s="8"/>
      <c r="C34" s="9"/>
      <c r="D34" s="9"/>
      <c r="E34" s="9"/>
      <c r="F34" s="9"/>
      <c r="G34" s="9"/>
      <c r="H34" s="9"/>
      <c r="I34" s="9"/>
      <c r="J34" s="41" t="s">
        <v>67</v>
      </c>
      <c r="K34" s="9"/>
      <c r="L34" s="9"/>
      <c r="N34" s="3"/>
      <c r="S34" s="3"/>
      <c r="T34" s="3"/>
      <c r="U34" s="3"/>
    </row>
    <row r="35" spans="1:21" s="105" customFormat="1" x14ac:dyDescent="0.45">
      <c r="A35" s="11">
        <v>4</v>
      </c>
      <c r="B35" s="98" t="s">
        <v>129</v>
      </c>
      <c r="C35" s="109" t="s">
        <v>75</v>
      </c>
      <c r="D35" s="110" t="s">
        <v>96</v>
      </c>
      <c r="E35" s="111"/>
      <c r="F35" s="111"/>
      <c r="G35" s="111"/>
      <c r="H35" s="129">
        <v>4850000</v>
      </c>
      <c r="I35" s="111"/>
      <c r="J35" s="104" t="s">
        <v>17</v>
      </c>
      <c r="K35" s="104" t="s">
        <v>81</v>
      </c>
      <c r="L35" s="103" t="s">
        <v>61</v>
      </c>
    </row>
    <row r="36" spans="1:21" s="105" customFormat="1" x14ac:dyDescent="0.45">
      <c r="A36" s="121"/>
      <c r="B36" s="108" t="s">
        <v>145</v>
      </c>
      <c r="C36" s="109" t="s">
        <v>76</v>
      </c>
      <c r="D36" s="104" t="s">
        <v>146</v>
      </c>
      <c r="E36" s="112"/>
      <c r="F36" s="112"/>
      <c r="G36" s="112"/>
      <c r="H36" s="112"/>
      <c r="I36" s="112"/>
      <c r="J36" s="104" t="s">
        <v>18</v>
      </c>
      <c r="K36" s="104" t="s">
        <v>82</v>
      </c>
      <c r="L36" s="106"/>
    </row>
    <row r="37" spans="1:21" s="105" customFormat="1" x14ac:dyDescent="0.45">
      <c r="A37" s="121"/>
      <c r="B37" s="108"/>
      <c r="C37" s="109" t="s">
        <v>77</v>
      </c>
      <c r="D37" s="104"/>
      <c r="E37" s="112"/>
      <c r="F37" s="112"/>
      <c r="G37" s="112"/>
      <c r="H37" s="112"/>
      <c r="I37" s="112"/>
      <c r="J37" s="104" t="s">
        <v>83</v>
      </c>
      <c r="K37" s="104" t="s">
        <v>80</v>
      </c>
      <c r="L37" s="106"/>
    </row>
    <row r="38" spans="1:21" s="105" customFormat="1" ht="16.5" customHeight="1" x14ac:dyDescent="0.45">
      <c r="A38" s="116"/>
      <c r="B38" s="113"/>
      <c r="C38" s="117"/>
      <c r="D38" s="107"/>
      <c r="E38" s="114"/>
      <c r="F38" s="114"/>
      <c r="G38" s="114"/>
      <c r="H38" s="114"/>
      <c r="I38" s="114"/>
      <c r="J38" s="115" t="s">
        <v>84</v>
      </c>
      <c r="K38" s="115"/>
      <c r="L38" s="107"/>
    </row>
    <row r="39" spans="1:21" s="105" customFormat="1" x14ac:dyDescent="0.45">
      <c r="A39" s="11">
        <v>5</v>
      </c>
      <c r="B39" s="98" t="s">
        <v>147</v>
      </c>
      <c r="C39" s="109" t="s">
        <v>75</v>
      </c>
      <c r="D39" s="110" t="s">
        <v>149</v>
      </c>
      <c r="E39" s="111"/>
      <c r="F39" s="111"/>
      <c r="G39" s="111"/>
      <c r="H39" s="111">
        <v>700000</v>
      </c>
      <c r="I39" s="111"/>
      <c r="J39" s="104" t="s">
        <v>17</v>
      </c>
      <c r="K39" s="104" t="s">
        <v>81</v>
      </c>
      <c r="L39" s="103" t="s">
        <v>61</v>
      </c>
    </row>
    <row r="40" spans="1:21" s="105" customFormat="1" x14ac:dyDescent="0.45">
      <c r="A40" s="121"/>
      <c r="B40" s="108" t="s">
        <v>148</v>
      </c>
      <c r="C40" s="109" t="s">
        <v>76</v>
      </c>
      <c r="D40" s="104" t="s">
        <v>255</v>
      </c>
      <c r="E40" s="112"/>
      <c r="F40" s="112"/>
      <c r="G40" s="112"/>
      <c r="H40" s="112"/>
      <c r="I40" s="112"/>
      <c r="J40" s="104" t="s">
        <v>18</v>
      </c>
      <c r="K40" s="104" t="s">
        <v>82</v>
      </c>
      <c r="L40" s="106"/>
    </row>
    <row r="41" spans="1:21" s="105" customFormat="1" x14ac:dyDescent="0.45">
      <c r="A41" s="121"/>
      <c r="B41" s="108"/>
      <c r="C41" s="109" t="s">
        <v>77</v>
      </c>
      <c r="D41" s="104"/>
      <c r="E41" s="112"/>
      <c r="F41" s="112"/>
      <c r="G41" s="112"/>
      <c r="H41" s="112"/>
      <c r="I41" s="112"/>
      <c r="J41" s="104" t="s">
        <v>83</v>
      </c>
      <c r="K41" s="104" t="s">
        <v>80</v>
      </c>
      <c r="L41" s="106"/>
    </row>
    <row r="42" spans="1:21" s="105" customFormat="1" ht="16.5" customHeight="1" x14ac:dyDescent="0.45">
      <c r="A42" s="116"/>
      <c r="B42" s="113"/>
      <c r="C42" s="117"/>
      <c r="D42" s="107"/>
      <c r="E42" s="114"/>
      <c r="F42" s="114"/>
      <c r="G42" s="114"/>
      <c r="H42" s="114"/>
      <c r="I42" s="114"/>
      <c r="J42" s="115" t="s">
        <v>84</v>
      </c>
      <c r="K42" s="115"/>
      <c r="L42" s="107"/>
    </row>
    <row r="43" spans="1:21" s="105" customFormat="1" x14ac:dyDescent="0.45">
      <c r="A43" s="11">
        <v>6</v>
      </c>
      <c r="B43" s="98" t="s">
        <v>150</v>
      </c>
      <c r="C43" s="109" t="s">
        <v>75</v>
      </c>
      <c r="D43" s="110" t="s">
        <v>152</v>
      </c>
      <c r="E43" s="111"/>
      <c r="F43" s="111"/>
      <c r="G43" s="111"/>
      <c r="H43" s="111">
        <v>150000</v>
      </c>
      <c r="I43" s="111"/>
      <c r="J43" s="104" t="s">
        <v>17</v>
      </c>
      <c r="K43" s="104" t="s">
        <v>81</v>
      </c>
      <c r="L43" s="103" t="s">
        <v>61</v>
      </c>
    </row>
    <row r="44" spans="1:21" s="105" customFormat="1" x14ac:dyDescent="0.45">
      <c r="A44" s="121"/>
      <c r="B44" s="108" t="s">
        <v>151</v>
      </c>
      <c r="C44" s="109" t="s">
        <v>76</v>
      </c>
      <c r="D44" s="104" t="s">
        <v>153</v>
      </c>
      <c r="E44" s="112"/>
      <c r="F44" s="112"/>
      <c r="G44" s="112"/>
      <c r="H44" s="112"/>
      <c r="I44" s="112"/>
      <c r="J44" s="104" t="s">
        <v>18</v>
      </c>
      <c r="K44" s="104" t="s">
        <v>82</v>
      </c>
      <c r="L44" s="106"/>
    </row>
    <row r="45" spans="1:21" s="105" customFormat="1" x14ac:dyDescent="0.45">
      <c r="A45" s="121"/>
      <c r="B45" s="108"/>
      <c r="C45" s="109" t="s">
        <v>77</v>
      </c>
      <c r="D45" s="104" t="s">
        <v>114</v>
      </c>
      <c r="E45" s="112"/>
      <c r="F45" s="112"/>
      <c r="G45" s="112"/>
      <c r="H45" s="112"/>
      <c r="I45" s="112"/>
      <c r="J45" s="104" t="s">
        <v>83</v>
      </c>
      <c r="K45" s="104" t="s">
        <v>80</v>
      </c>
      <c r="L45" s="106"/>
    </row>
    <row r="46" spans="1:21" s="105" customFormat="1" ht="36.75" customHeight="1" x14ac:dyDescent="0.45">
      <c r="A46" s="116"/>
      <c r="B46" s="113"/>
      <c r="C46" s="117"/>
      <c r="D46" s="107"/>
      <c r="E46" s="114"/>
      <c r="F46" s="114"/>
      <c r="G46" s="114"/>
      <c r="H46" s="114"/>
      <c r="I46" s="114"/>
      <c r="J46" s="115" t="s">
        <v>84</v>
      </c>
      <c r="K46" s="115"/>
      <c r="L46" s="107"/>
    </row>
    <row r="47" spans="1:21" s="24" customFormat="1" ht="20.45" customHeight="1" x14ac:dyDescent="0.45">
      <c r="A47" s="198" t="s">
        <v>9</v>
      </c>
      <c r="B47" s="198" t="s">
        <v>10</v>
      </c>
      <c r="C47" s="198" t="s">
        <v>11</v>
      </c>
      <c r="D47" s="31" t="s">
        <v>22</v>
      </c>
      <c r="E47" s="198" t="s">
        <v>12</v>
      </c>
      <c r="F47" s="198"/>
      <c r="G47" s="198"/>
      <c r="H47" s="198"/>
      <c r="I47" s="198"/>
      <c r="J47" s="196" t="s">
        <v>13</v>
      </c>
      <c r="K47" s="196" t="s">
        <v>14</v>
      </c>
      <c r="L47" s="196" t="s">
        <v>15</v>
      </c>
    </row>
    <row r="48" spans="1:21" s="24" customFormat="1" x14ac:dyDescent="0.45">
      <c r="A48" s="198"/>
      <c r="B48" s="198"/>
      <c r="C48" s="198"/>
      <c r="D48" s="33" t="s">
        <v>23</v>
      </c>
      <c r="E48" s="32">
        <v>2566</v>
      </c>
      <c r="F48" s="30">
        <v>2567</v>
      </c>
      <c r="G48" s="32">
        <v>2568</v>
      </c>
      <c r="H48" s="30">
        <v>2569</v>
      </c>
      <c r="I48" s="32">
        <v>2570</v>
      </c>
      <c r="J48" s="196"/>
      <c r="K48" s="196"/>
      <c r="L48" s="196"/>
    </row>
    <row r="49" spans="1:21" s="24" customFormat="1" x14ac:dyDescent="0.45">
      <c r="A49" s="198"/>
      <c r="B49" s="198"/>
      <c r="C49" s="198"/>
      <c r="D49" s="35" t="s">
        <v>10</v>
      </c>
      <c r="E49" s="30" t="s">
        <v>16</v>
      </c>
      <c r="F49" s="30" t="s">
        <v>16</v>
      </c>
      <c r="G49" s="30" t="s">
        <v>16</v>
      </c>
      <c r="H49" s="30" t="s">
        <v>16</v>
      </c>
      <c r="I49" s="30" t="s">
        <v>16</v>
      </c>
      <c r="J49" s="196"/>
      <c r="K49" s="196"/>
      <c r="L49" s="196"/>
    </row>
    <row r="50" spans="1:21" s="2" customFormat="1" ht="21" customHeight="1" x14ac:dyDescent="0.45">
      <c r="A50" s="1">
        <v>7</v>
      </c>
      <c r="B50" s="98" t="s">
        <v>142</v>
      </c>
      <c r="C50" s="36" t="s">
        <v>58</v>
      </c>
      <c r="D50" s="37" t="s">
        <v>59</v>
      </c>
      <c r="E50" s="147"/>
      <c r="F50" s="148"/>
      <c r="G50" s="46"/>
      <c r="H50" s="46">
        <v>300000</v>
      </c>
      <c r="I50" s="46"/>
      <c r="J50" s="36" t="s">
        <v>17</v>
      </c>
      <c r="K50" s="36" t="s">
        <v>60</v>
      </c>
      <c r="L50" s="37" t="s">
        <v>61</v>
      </c>
      <c r="N50" s="3"/>
      <c r="O50" s="4"/>
      <c r="P50" s="4"/>
      <c r="Q50" s="4"/>
      <c r="R50" s="10"/>
      <c r="S50" s="3"/>
      <c r="T50" s="3"/>
      <c r="U50" s="3"/>
    </row>
    <row r="51" spans="1:21" ht="21" customHeight="1" x14ac:dyDescent="0.45">
      <c r="A51" s="11"/>
      <c r="B51" s="7" t="s">
        <v>154</v>
      </c>
      <c r="C51" s="39" t="s">
        <v>62</v>
      </c>
      <c r="D51" s="5" t="s">
        <v>155</v>
      </c>
      <c r="E51" s="5"/>
      <c r="F51" s="5"/>
      <c r="G51" s="5"/>
      <c r="H51" s="7"/>
      <c r="I51" s="5"/>
      <c r="J51" s="39" t="s">
        <v>63</v>
      </c>
      <c r="K51" s="39" t="s">
        <v>64</v>
      </c>
      <c r="L51" s="5"/>
      <c r="N51" s="3"/>
      <c r="S51" s="3"/>
      <c r="T51" s="3"/>
      <c r="U51" s="3"/>
    </row>
    <row r="52" spans="1:21" ht="21" customHeight="1" x14ac:dyDescent="0.45">
      <c r="A52" s="11"/>
      <c r="B52" s="6"/>
      <c r="C52" s="39" t="s">
        <v>65</v>
      </c>
      <c r="D52" s="5"/>
      <c r="E52" s="5"/>
      <c r="F52" s="5"/>
      <c r="G52" s="5"/>
      <c r="H52" s="5"/>
      <c r="I52" s="5"/>
      <c r="J52" s="39" t="s">
        <v>66</v>
      </c>
      <c r="K52" s="5"/>
      <c r="L52" s="5"/>
      <c r="N52" s="3"/>
      <c r="S52" s="3"/>
      <c r="T52" s="3"/>
      <c r="U52" s="3"/>
    </row>
    <row r="53" spans="1:21" ht="21" customHeight="1" x14ac:dyDescent="0.45">
      <c r="A53" s="12"/>
      <c r="B53" s="8"/>
      <c r="C53" s="9"/>
      <c r="D53" s="9"/>
      <c r="E53" s="9"/>
      <c r="F53" s="9"/>
      <c r="G53" s="9"/>
      <c r="H53" s="9"/>
      <c r="I53" s="9"/>
      <c r="J53" s="41" t="s">
        <v>67</v>
      </c>
      <c r="K53" s="9"/>
      <c r="L53" s="9"/>
      <c r="N53" s="3"/>
      <c r="S53" s="3"/>
      <c r="T53" s="3"/>
      <c r="U53" s="3"/>
    </row>
    <row r="54" spans="1:21" s="2" customFormat="1" ht="21" customHeight="1" x14ac:dyDescent="0.45">
      <c r="A54" s="16">
        <v>8</v>
      </c>
      <c r="B54" s="98" t="s">
        <v>269</v>
      </c>
      <c r="C54" s="39" t="s">
        <v>58</v>
      </c>
      <c r="D54" s="5" t="s">
        <v>158</v>
      </c>
      <c r="E54" s="13"/>
      <c r="F54" s="14"/>
      <c r="G54" s="15"/>
      <c r="H54" s="15">
        <v>500000</v>
      </c>
      <c r="I54" s="15"/>
      <c r="J54" s="39" t="s">
        <v>17</v>
      </c>
      <c r="K54" s="39" t="s">
        <v>60</v>
      </c>
      <c r="L54" s="5" t="s">
        <v>61</v>
      </c>
      <c r="N54" s="3"/>
      <c r="O54" s="4"/>
      <c r="P54" s="4"/>
      <c r="Q54" s="4"/>
      <c r="R54" s="10"/>
      <c r="S54" s="3"/>
      <c r="T54" s="3"/>
      <c r="U54" s="3"/>
    </row>
    <row r="55" spans="1:21" ht="21" customHeight="1" x14ac:dyDescent="0.45">
      <c r="A55" s="11"/>
      <c r="B55" s="7" t="s">
        <v>156</v>
      </c>
      <c r="C55" s="39" t="s">
        <v>62</v>
      </c>
      <c r="D55" s="5" t="s">
        <v>159</v>
      </c>
      <c r="E55" s="5"/>
      <c r="F55" s="5"/>
      <c r="G55" s="5"/>
      <c r="H55" s="7"/>
      <c r="I55" s="5"/>
      <c r="J55" s="39" t="s">
        <v>63</v>
      </c>
      <c r="K55" s="39" t="s">
        <v>64</v>
      </c>
      <c r="L55" s="5"/>
      <c r="N55" s="3"/>
      <c r="S55" s="3"/>
      <c r="T55" s="3"/>
      <c r="U55" s="3"/>
    </row>
    <row r="56" spans="1:21" ht="21" customHeight="1" x14ac:dyDescent="0.45">
      <c r="A56" s="11"/>
      <c r="B56" s="6" t="s">
        <v>157</v>
      </c>
      <c r="C56" s="39" t="s">
        <v>65</v>
      </c>
      <c r="D56" s="5" t="s">
        <v>160</v>
      </c>
      <c r="E56" s="5"/>
      <c r="F56" s="5"/>
      <c r="G56" s="5"/>
      <c r="H56" s="5"/>
      <c r="I56" s="5"/>
      <c r="J56" s="39" t="s">
        <v>66</v>
      </c>
      <c r="K56" s="5"/>
      <c r="L56" s="5"/>
      <c r="N56" s="3"/>
      <c r="S56" s="3"/>
      <c r="T56" s="3"/>
      <c r="U56" s="3"/>
    </row>
    <row r="57" spans="1:21" ht="21" customHeight="1" x14ac:dyDescent="0.45">
      <c r="A57" s="12"/>
      <c r="B57" s="8"/>
      <c r="C57" s="9"/>
      <c r="D57" s="9"/>
      <c r="E57" s="9"/>
      <c r="F57" s="9"/>
      <c r="G57" s="9"/>
      <c r="H57" s="9"/>
      <c r="I57" s="9"/>
      <c r="J57" s="41" t="s">
        <v>67</v>
      </c>
      <c r="K57" s="9"/>
      <c r="L57" s="9"/>
      <c r="N57" s="3"/>
      <c r="S57" s="3"/>
      <c r="T57" s="3"/>
      <c r="U57" s="3"/>
    </row>
    <row r="58" spans="1:21" s="24" customFormat="1" x14ac:dyDescent="0.45">
      <c r="A58" s="192" t="s">
        <v>91</v>
      </c>
      <c r="B58" s="192"/>
      <c r="C58" s="192"/>
      <c r="D58" s="192"/>
      <c r="E58" s="122">
        <f>SUM(E20,E27,E31,E35,E39,E43,E50,E54)</f>
        <v>0</v>
      </c>
      <c r="F58" s="122">
        <f t="shared" ref="F58:I58" si="0">SUM(F20,F27,F31,F35,F39,F43,F50,F54)</f>
        <v>0</v>
      </c>
      <c r="G58" s="122">
        <f t="shared" si="0"/>
        <v>0</v>
      </c>
      <c r="H58" s="102">
        <f t="shared" si="0"/>
        <v>9400000</v>
      </c>
      <c r="I58" s="122">
        <f t="shared" si="0"/>
        <v>0</v>
      </c>
      <c r="J58" s="193"/>
      <c r="K58" s="194"/>
      <c r="L58" s="195"/>
    </row>
  </sheetData>
  <mergeCells count="38">
    <mergeCell ref="K24:K26"/>
    <mergeCell ref="L24:L26"/>
    <mergeCell ref="K47:K49"/>
    <mergeCell ref="L47:L49"/>
    <mergeCell ref="A58:D58"/>
    <mergeCell ref="J58:L58"/>
    <mergeCell ref="A47:A49"/>
    <mergeCell ref="B47:B49"/>
    <mergeCell ref="C47:C49"/>
    <mergeCell ref="E47:I47"/>
    <mergeCell ref="J47:J49"/>
    <mergeCell ref="A24:A26"/>
    <mergeCell ref="B24:B26"/>
    <mergeCell ref="C24:C26"/>
    <mergeCell ref="E24:I24"/>
    <mergeCell ref="J24:J26"/>
    <mergeCell ref="A1:L1"/>
    <mergeCell ref="A2:L2"/>
    <mergeCell ref="A3:L3"/>
    <mergeCell ref="A4:L4"/>
    <mergeCell ref="A5:L5"/>
    <mergeCell ref="B6:M6"/>
    <mergeCell ref="A8:L8"/>
    <mergeCell ref="A9:L9"/>
    <mergeCell ref="A10:L10"/>
    <mergeCell ref="B7:M7"/>
    <mergeCell ref="A11:L11"/>
    <mergeCell ref="A17:A19"/>
    <mergeCell ref="B17:B19"/>
    <mergeCell ref="C17:C19"/>
    <mergeCell ref="J17:J19"/>
    <mergeCell ref="K17:K19"/>
    <mergeCell ref="L17:L19"/>
    <mergeCell ref="A12:L12"/>
    <mergeCell ref="A13:G13"/>
    <mergeCell ref="A14:G14"/>
    <mergeCell ref="A15:E15"/>
    <mergeCell ref="E17:I17"/>
  </mergeCells>
  <pageMargins left="0.25" right="0.25" top="0.75" bottom="0.75" header="0.3" footer="0.3"/>
  <pageSetup paperSize="9" orientation="landscape" horizontalDpi="4294967293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D568-480E-4036-8A7A-5D19F2A30E68}">
  <dimension ref="A1:M79"/>
  <sheetViews>
    <sheetView view="pageLayout" topLeftCell="A67" zoomScaleNormal="100" workbookViewId="0">
      <selection activeCell="B39" sqref="B39"/>
    </sheetView>
  </sheetViews>
  <sheetFormatPr defaultColWidth="8.625" defaultRowHeight="21" x14ac:dyDescent="0.45"/>
  <cols>
    <col min="1" max="1" width="4.125" style="3" customWidth="1"/>
    <col min="2" max="2" width="30" style="4" customWidth="1"/>
    <col min="3" max="3" width="15.125" style="4" customWidth="1"/>
    <col min="4" max="4" width="15.5" style="4" customWidth="1"/>
    <col min="5" max="7" width="6.25" style="4" customWidth="1"/>
    <col min="8" max="9" width="6.875" style="4" customWidth="1"/>
    <col min="10" max="10" width="11.875" style="4" customWidth="1"/>
    <col min="11" max="11" width="14.25" style="4" customWidth="1"/>
    <col min="12" max="12" width="10.125" style="4" customWidth="1"/>
    <col min="13" max="16384" width="8.625" style="4"/>
  </cols>
  <sheetData>
    <row r="1" spans="1:13" s="24" customFormat="1" ht="17.25" customHeight="1" x14ac:dyDescent="0.45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</row>
    <row r="2" spans="1:13" s="24" customFormat="1" ht="17.25" customHeight="1" x14ac:dyDescent="0.45">
      <c r="A2" s="200" t="s">
        <v>252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</row>
    <row r="3" spans="1:13" s="24" customFormat="1" ht="17.25" customHeight="1" x14ac:dyDescent="0.45">
      <c r="A3" s="213" t="s">
        <v>19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</row>
    <row r="4" spans="1:13" s="26" customFormat="1" x14ac:dyDescent="0.45">
      <c r="A4" s="197" t="s">
        <v>1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</row>
    <row r="5" spans="1:13" s="26" customFormat="1" x14ac:dyDescent="0.45">
      <c r="A5" s="197" t="s">
        <v>2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</row>
    <row r="6" spans="1:13" s="26" customFormat="1" x14ac:dyDescent="0.45">
      <c r="A6" s="27"/>
      <c r="B6" s="199" t="s">
        <v>3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</row>
    <row r="7" spans="1:13" s="26" customFormat="1" x14ac:dyDescent="0.45">
      <c r="A7" s="27"/>
      <c r="B7" s="199" t="s">
        <v>4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</row>
    <row r="8" spans="1:13" s="24" customFormat="1" x14ac:dyDescent="0.45">
      <c r="A8" s="197" t="s">
        <v>5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</row>
    <row r="9" spans="1:13" s="24" customFormat="1" x14ac:dyDescent="0.45">
      <c r="A9" s="197" t="s">
        <v>6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</row>
    <row r="10" spans="1:13" s="26" customFormat="1" x14ac:dyDescent="0.45">
      <c r="A10" s="197" t="s">
        <v>7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</row>
    <row r="11" spans="1:13" s="24" customFormat="1" x14ac:dyDescent="0.45">
      <c r="A11" s="197" t="s">
        <v>20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</row>
    <row r="12" spans="1:13" s="24" customFormat="1" x14ac:dyDescent="0.45">
      <c r="A12" s="197" t="s">
        <v>27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</row>
    <row r="13" spans="1:13" s="24" customFormat="1" x14ac:dyDescent="0.45">
      <c r="A13" s="197" t="s">
        <v>28</v>
      </c>
      <c r="B13" s="197"/>
      <c r="C13" s="197"/>
      <c r="D13" s="197"/>
      <c r="E13" s="197"/>
      <c r="F13" s="197"/>
      <c r="G13" s="197"/>
      <c r="H13" s="25"/>
      <c r="I13" s="25"/>
      <c r="J13" s="25"/>
      <c r="K13" s="25"/>
      <c r="L13" s="25"/>
    </row>
    <row r="14" spans="1:13" s="24" customFormat="1" x14ac:dyDescent="0.45">
      <c r="A14" s="197" t="s">
        <v>29</v>
      </c>
      <c r="B14" s="197"/>
      <c r="C14" s="197"/>
      <c r="D14" s="197"/>
      <c r="E14" s="197"/>
      <c r="F14" s="197"/>
      <c r="G14" s="197"/>
      <c r="H14" s="25"/>
      <c r="I14" s="25"/>
      <c r="J14" s="25"/>
      <c r="K14" s="25"/>
      <c r="L14" s="25"/>
    </row>
    <row r="15" spans="1:13" s="2" customFormat="1" ht="21" customHeight="1" x14ac:dyDescent="0.2">
      <c r="A15" s="212" t="s">
        <v>8</v>
      </c>
      <c r="B15" s="212"/>
      <c r="C15" s="212"/>
      <c r="D15" s="212"/>
      <c r="E15" s="212"/>
      <c r="F15" s="28"/>
      <c r="G15" s="28"/>
      <c r="H15" s="28"/>
      <c r="I15" s="28"/>
      <c r="J15" s="28"/>
      <c r="K15" s="28"/>
      <c r="L15" s="28"/>
    </row>
    <row r="16" spans="1:13" s="2" customFormat="1" ht="33.75" customHeight="1" x14ac:dyDescent="0.2">
      <c r="A16" s="29"/>
      <c r="B16" s="28" t="s">
        <v>25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 s="24" customFormat="1" ht="20.45" customHeight="1" x14ac:dyDescent="0.45">
      <c r="A17" s="198" t="s">
        <v>9</v>
      </c>
      <c r="B17" s="198" t="s">
        <v>10</v>
      </c>
      <c r="C17" s="198" t="s">
        <v>11</v>
      </c>
      <c r="D17" s="31" t="s">
        <v>22</v>
      </c>
      <c r="E17" s="198" t="s">
        <v>12</v>
      </c>
      <c r="F17" s="198"/>
      <c r="G17" s="198"/>
      <c r="H17" s="198"/>
      <c r="I17" s="198"/>
      <c r="J17" s="196" t="s">
        <v>13</v>
      </c>
      <c r="K17" s="196" t="s">
        <v>14</v>
      </c>
      <c r="L17" s="196" t="s">
        <v>15</v>
      </c>
    </row>
    <row r="18" spans="1:12" s="24" customFormat="1" x14ac:dyDescent="0.45">
      <c r="A18" s="198"/>
      <c r="B18" s="198"/>
      <c r="C18" s="198"/>
      <c r="D18" s="33" t="s">
        <v>23</v>
      </c>
      <c r="E18" s="32">
        <v>2566</v>
      </c>
      <c r="F18" s="30">
        <v>2567</v>
      </c>
      <c r="G18" s="32">
        <v>2568</v>
      </c>
      <c r="H18" s="30">
        <v>2569</v>
      </c>
      <c r="I18" s="32">
        <v>2570</v>
      </c>
      <c r="J18" s="196"/>
      <c r="K18" s="196"/>
      <c r="L18" s="196"/>
    </row>
    <row r="19" spans="1:12" s="24" customFormat="1" x14ac:dyDescent="0.45">
      <c r="A19" s="198"/>
      <c r="B19" s="198"/>
      <c r="C19" s="198"/>
      <c r="D19" s="35" t="s">
        <v>10</v>
      </c>
      <c r="E19" s="30" t="s">
        <v>16</v>
      </c>
      <c r="F19" s="30" t="s">
        <v>16</v>
      </c>
      <c r="G19" s="30" t="s">
        <v>16</v>
      </c>
      <c r="H19" s="30" t="s">
        <v>16</v>
      </c>
      <c r="I19" s="30" t="s">
        <v>16</v>
      </c>
      <c r="J19" s="196"/>
      <c r="K19" s="196"/>
      <c r="L19" s="196"/>
    </row>
    <row r="20" spans="1:12" s="105" customFormat="1" x14ac:dyDescent="0.45">
      <c r="A20" s="16">
        <v>1</v>
      </c>
      <c r="B20" s="17" t="s">
        <v>161</v>
      </c>
      <c r="C20" s="106" t="s">
        <v>58</v>
      </c>
      <c r="D20" s="104" t="s">
        <v>118</v>
      </c>
      <c r="E20" s="13"/>
      <c r="F20" s="14"/>
      <c r="G20" s="127"/>
      <c r="H20" s="127">
        <v>3000000</v>
      </c>
      <c r="I20" s="15"/>
      <c r="J20" s="106" t="s">
        <v>17</v>
      </c>
      <c r="K20" s="106" t="s">
        <v>60</v>
      </c>
      <c r="L20" s="5" t="s">
        <v>61</v>
      </c>
    </row>
    <row r="21" spans="1:12" s="105" customFormat="1" x14ac:dyDescent="0.45">
      <c r="A21" s="11"/>
      <c r="B21" s="7" t="s">
        <v>162</v>
      </c>
      <c r="C21" s="106" t="s">
        <v>62</v>
      </c>
      <c r="D21" s="104" t="s">
        <v>164</v>
      </c>
      <c r="E21" s="5"/>
      <c r="F21" s="5"/>
      <c r="G21" s="5"/>
      <c r="H21" s="7"/>
      <c r="I21" s="5"/>
      <c r="J21" s="106" t="s">
        <v>63</v>
      </c>
      <c r="K21" s="106" t="s">
        <v>64</v>
      </c>
      <c r="L21" s="5"/>
    </row>
    <row r="22" spans="1:12" s="96" customFormat="1" x14ac:dyDescent="0.45">
      <c r="A22" s="11"/>
      <c r="B22" s="6" t="s">
        <v>163</v>
      </c>
      <c r="C22" s="106" t="s">
        <v>65</v>
      </c>
      <c r="D22" s="104"/>
      <c r="E22" s="5"/>
      <c r="F22" s="5"/>
      <c r="G22" s="5"/>
      <c r="H22" s="5"/>
      <c r="I22" s="5"/>
      <c r="J22" s="106" t="s">
        <v>66</v>
      </c>
      <c r="K22" s="5"/>
      <c r="L22" s="5"/>
    </row>
    <row r="23" spans="1:12" s="96" customFormat="1" x14ac:dyDescent="0.45">
      <c r="A23" s="12"/>
      <c r="B23" s="8"/>
      <c r="C23" s="9"/>
      <c r="D23" s="9"/>
      <c r="E23" s="9"/>
      <c r="F23" s="9"/>
      <c r="G23" s="9"/>
      <c r="H23" s="9"/>
      <c r="I23" s="9"/>
      <c r="J23" s="107" t="s">
        <v>67</v>
      </c>
      <c r="K23" s="9"/>
      <c r="L23" s="9"/>
    </row>
    <row r="24" spans="1:12" s="24" customFormat="1" ht="20.45" customHeight="1" x14ac:dyDescent="0.45">
      <c r="A24" s="198" t="s">
        <v>9</v>
      </c>
      <c r="B24" s="198" t="s">
        <v>10</v>
      </c>
      <c r="C24" s="198" t="s">
        <v>11</v>
      </c>
      <c r="D24" s="31" t="s">
        <v>22</v>
      </c>
      <c r="E24" s="198" t="s">
        <v>12</v>
      </c>
      <c r="F24" s="198"/>
      <c r="G24" s="198"/>
      <c r="H24" s="198"/>
      <c r="I24" s="198"/>
      <c r="J24" s="196" t="s">
        <v>13</v>
      </c>
      <c r="K24" s="196" t="s">
        <v>14</v>
      </c>
      <c r="L24" s="196" t="s">
        <v>15</v>
      </c>
    </row>
    <row r="25" spans="1:12" s="24" customFormat="1" x14ac:dyDescent="0.45">
      <c r="A25" s="198"/>
      <c r="B25" s="198"/>
      <c r="C25" s="198"/>
      <c r="D25" s="33" t="s">
        <v>23</v>
      </c>
      <c r="E25" s="32">
        <v>2566</v>
      </c>
      <c r="F25" s="30">
        <v>2567</v>
      </c>
      <c r="G25" s="32">
        <v>2568</v>
      </c>
      <c r="H25" s="30">
        <v>2569</v>
      </c>
      <c r="I25" s="32">
        <v>2570</v>
      </c>
      <c r="J25" s="196"/>
      <c r="K25" s="196"/>
      <c r="L25" s="196"/>
    </row>
    <row r="26" spans="1:12" s="24" customFormat="1" x14ac:dyDescent="0.45">
      <c r="A26" s="198"/>
      <c r="B26" s="198"/>
      <c r="C26" s="198"/>
      <c r="D26" s="35" t="s">
        <v>10</v>
      </c>
      <c r="E26" s="30" t="s">
        <v>16</v>
      </c>
      <c r="F26" s="30" t="s">
        <v>16</v>
      </c>
      <c r="G26" s="30" t="s">
        <v>16</v>
      </c>
      <c r="H26" s="30" t="s">
        <v>16</v>
      </c>
      <c r="I26" s="30" t="s">
        <v>16</v>
      </c>
      <c r="J26" s="196"/>
      <c r="K26" s="196"/>
      <c r="L26" s="196"/>
    </row>
    <row r="27" spans="1:12" s="105" customFormat="1" x14ac:dyDescent="0.45">
      <c r="A27" s="16">
        <v>2</v>
      </c>
      <c r="B27" s="17" t="s">
        <v>161</v>
      </c>
      <c r="C27" s="106" t="s">
        <v>58</v>
      </c>
      <c r="D27" s="104" t="s">
        <v>166</v>
      </c>
      <c r="E27" s="13"/>
      <c r="F27" s="14"/>
      <c r="G27" s="127"/>
      <c r="H27" s="127">
        <v>2500000</v>
      </c>
      <c r="I27" s="15"/>
      <c r="J27" s="106" t="s">
        <v>17</v>
      </c>
      <c r="K27" s="106" t="s">
        <v>60</v>
      </c>
      <c r="L27" s="5" t="s">
        <v>61</v>
      </c>
    </row>
    <row r="28" spans="1:12" s="105" customFormat="1" x14ac:dyDescent="0.45">
      <c r="A28" s="11"/>
      <c r="B28" s="7" t="s">
        <v>165</v>
      </c>
      <c r="C28" s="106" t="s">
        <v>62</v>
      </c>
      <c r="D28" s="104" t="s">
        <v>167</v>
      </c>
      <c r="E28" s="5"/>
      <c r="F28" s="5"/>
      <c r="G28" s="5"/>
      <c r="H28" s="7"/>
      <c r="I28" s="5"/>
      <c r="J28" s="106" t="s">
        <v>63</v>
      </c>
      <c r="K28" s="106" t="s">
        <v>64</v>
      </c>
      <c r="L28" s="5"/>
    </row>
    <row r="29" spans="1:12" s="96" customFormat="1" x14ac:dyDescent="0.45">
      <c r="A29" s="11"/>
      <c r="B29" s="6" t="s">
        <v>256</v>
      </c>
      <c r="C29" s="106" t="s">
        <v>65</v>
      </c>
      <c r="D29" s="104"/>
      <c r="E29" s="5"/>
      <c r="F29" s="5"/>
      <c r="G29" s="5"/>
      <c r="H29" s="5"/>
      <c r="I29" s="5"/>
      <c r="J29" s="106" t="s">
        <v>66</v>
      </c>
      <c r="K29" s="5"/>
      <c r="L29" s="5"/>
    </row>
    <row r="30" spans="1:12" s="96" customFormat="1" x14ac:dyDescent="0.45">
      <c r="A30" s="12"/>
      <c r="B30" s="8"/>
      <c r="C30" s="9"/>
      <c r="D30" s="9"/>
      <c r="E30" s="9"/>
      <c r="F30" s="9"/>
      <c r="G30" s="9"/>
      <c r="H30" s="9"/>
      <c r="I30" s="9"/>
      <c r="J30" s="107" t="s">
        <v>67</v>
      </c>
      <c r="K30" s="9"/>
      <c r="L30" s="9"/>
    </row>
    <row r="31" spans="1:12" s="96" customFormat="1" x14ac:dyDescent="0.45">
      <c r="A31" s="18">
        <v>3</v>
      </c>
      <c r="B31" s="6" t="s">
        <v>89</v>
      </c>
      <c r="C31" s="118" t="s">
        <v>58</v>
      </c>
      <c r="D31" s="110" t="s">
        <v>170</v>
      </c>
      <c r="E31" s="111"/>
      <c r="F31" s="111"/>
      <c r="G31" s="111"/>
      <c r="H31" s="111">
        <v>750000</v>
      </c>
      <c r="I31" s="111"/>
      <c r="J31" s="103" t="s">
        <v>17</v>
      </c>
      <c r="K31" s="103" t="s">
        <v>60</v>
      </c>
      <c r="L31" s="103" t="s">
        <v>61</v>
      </c>
    </row>
    <row r="32" spans="1:12" s="96" customFormat="1" x14ac:dyDescent="0.45">
      <c r="A32" s="11"/>
      <c r="B32" s="6" t="s">
        <v>168</v>
      </c>
      <c r="C32" s="119" t="s">
        <v>62</v>
      </c>
      <c r="D32" s="104" t="s">
        <v>88</v>
      </c>
      <c r="E32" s="112"/>
      <c r="F32" s="112"/>
      <c r="G32" s="112"/>
      <c r="H32" s="112"/>
      <c r="I32" s="112"/>
      <c r="J32" s="106" t="s">
        <v>63</v>
      </c>
      <c r="K32" s="106" t="s">
        <v>64</v>
      </c>
      <c r="L32" s="106"/>
    </row>
    <row r="33" spans="1:12" s="96" customFormat="1" x14ac:dyDescent="0.45">
      <c r="A33" s="11"/>
      <c r="B33" s="6" t="s">
        <v>169</v>
      </c>
      <c r="C33" s="119" t="s">
        <v>65</v>
      </c>
      <c r="D33" s="104"/>
      <c r="E33" s="112"/>
      <c r="F33" s="112"/>
      <c r="G33" s="112"/>
      <c r="H33" s="112"/>
      <c r="I33" s="112"/>
      <c r="J33" s="106" t="s">
        <v>66</v>
      </c>
      <c r="K33" s="106"/>
      <c r="L33" s="106"/>
    </row>
    <row r="34" spans="1:12" s="96" customFormat="1" x14ac:dyDescent="0.45">
      <c r="A34" s="12"/>
      <c r="B34" s="120"/>
      <c r="C34" s="117"/>
      <c r="D34" s="107"/>
      <c r="E34" s="114"/>
      <c r="F34" s="114"/>
      <c r="G34" s="114"/>
      <c r="H34" s="114"/>
      <c r="I34" s="114"/>
      <c r="J34" s="107" t="s">
        <v>67</v>
      </c>
      <c r="K34" s="107"/>
      <c r="L34" s="107"/>
    </row>
    <row r="35" spans="1:12" s="96" customFormat="1" x14ac:dyDescent="0.45">
      <c r="A35" s="18">
        <v>4</v>
      </c>
      <c r="B35" s="6" t="s">
        <v>89</v>
      </c>
      <c r="C35" s="118" t="s">
        <v>58</v>
      </c>
      <c r="D35" s="110" t="s">
        <v>59</v>
      </c>
      <c r="E35" s="111"/>
      <c r="F35" s="111"/>
      <c r="G35" s="111"/>
      <c r="H35" s="111">
        <v>200000</v>
      </c>
      <c r="I35" s="111"/>
      <c r="J35" s="103" t="s">
        <v>17</v>
      </c>
      <c r="K35" s="103" t="s">
        <v>60</v>
      </c>
      <c r="L35" s="103" t="s">
        <v>61</v>
      </c>
    </row>
    <row r="36" spans="1:12" s="96" customFormat="1" x14ac:dyDescent="0.45">
      <c r="A36" s="11"/>
      <c r="B36" s="6" t="s">
        <v>257</v>
      </c>
      <c r="C36" s="119" t="s">
        <v>62</v>
      </c>
      <c r="D36" s="104" t="s">
        <v>171</v>
      </c>
      <c r="E36" s="112"/>
      <c r="F36" s="112"/>
      <c r="G36" s="112"/>
      <c r="H36" s="112"/>
      <c r="I36" s="112"/>
      <c r="J36" s="106" t="s">
        <v>63</v>
      </c>
      <c r="K36" s="106" t="s">
        <v>64</v>
      </c>
      <c r="L36" s="106"/>
    </row>
    <row r="37" spans="1:12" s="96" customFormat="1" x14ac:dyDescent="0.45">
      <c r="A37" s="11"/>
      <c r="B37" s="6" t="s">
        <v>258</v>
      </c>
      <c r="C37" s="119" t="s">
        <v>65</v>
      </c>
      <c r="D37" s="104"/>
      <c r="E37" s="112"/>
      <c r="F37" s="112"/>
      <c r="G37" s="112"/>
      <c r="H37" s="112"/>
      <c r="I37" s="112"/>
      <c r="J37" s="106" t="s">
        <v>66</v>
      </c>
      <c r="K37" s="106"/>
      <c r="L37" s="106"/>
    </row>
    <row r="38" spans="1:12" s="96" customFormat="1" x14ac:dyDescent="0.45">
      <c r="A38" s="12"/>
      <c r="B38" s="120"/>
      <c r="C38" s="119"/>
      <c r="D38" s="107"/>
      <c r="E38" s="114"/>
      <c r="F38" s="114"/>
      <c r="G38" s="114"/>
      <c r="H38" s="114"/>
      <c r="I38" s="114"/>
      <c r="J38" s="107" t="s">
        <v>67</v>
      </c>
      <c r="K38" s="107"/>
      <c r="L38" s="107"/>
    </row>
    <row r="39" spans="1:12" s="24" customFormat="1" x14ac:dyDescent="0.45">
      <c r="A39" s="18">
        <v>5</v>
      </c>
      <c r="B39" s="153" t="s">
        <v>306</v>
      </c>
      <c r="C39" s="99" t="s">
        <v>69</v>
      </c>
      <c r="D39" s="156" t="s">
        <v>133</v>
      </c>
      <c r="E39" s="125"/>
      <c r="F39" s="125"/>
      <c r="G39" s="125"/>
      <c r="H39" s="157">
        <v>7500000</v>
      </c>
      <c r="I39" s="125"/>
      <c r="J39" s="50" t="s">
        <v>17</v>
      </c>
      <c r="K39" s="158" t="s">
        <v>179</v>
      </c>
      <c r="L39" s="126" t="s">
        <v>61</v>
      </c>
    </row>
    <row r="40" spans="1:12" s="24" customFormat="1" x14ac:dyDescent="0.45">
      <c r="A40" s="11"/>
      <c r="B40" s="154" t="s">
        <v>168</v>
      </c>
      <c r="C40" s="50" t="s">
        <v>259</v>
      </c>
      <c r="D40" s="44" t="s">
        <v>173</v>
      </c>
      <c r="E40" s="125"/>
      <c r="F40" s="125"/>
      <c r="G40" s="125"/>
      <c r="H40" s="125"/>
      <c r="I40" s="125"/>
      <c r="J40" s="50" t="s">
        <v>71</v>
      </c>
      <c r="K40" s="158" t="s">
        <v>180</v>
      </c>
      <c r="L40" s="126"/>
    </row>
    <row r="41" spans="1:12" s="24" customFormat="1" x14ac:dyDescent="0.45">
      <c r="A41" s="12"/>
      <c r="B41" s="155" t="s">
        <v>172</v>
      </c>
      <c r="C41" s="9" t="s">
        <v>260</v>
      </c>
      <c r="E41" s="40"/>
      <c r="F41" s="40"/>
      <c r="G41" s="40"/>
      <c r="H41" s="40"/>
      <c r="I41" s="40"/>
      <c r="J41" s="5"/>
      <c r="K41" s="5" t="s">
        <v>181</v>
      </c>
      <c r="L41" s="39"/>
    </row>
    <row r="42" spans="1:12" s="105" customFormat="1" x14ac:dyDescent="0.45">
      <c r="A42" s="11">
        <v>6</v>
      </c>
      <c r="B42" s="98" t="s">
        <v>92</v>
      </c>
      <c r="C42" s="104" t="s">
        <v>75</v>
      </c>
      <c r="D42" s="110" t="s">
        <v>175</v>
      </c>
      <c r="E42" s="111"/>
      <c r="F42" s="111"/>
      <c r="G42" s="111"/>
      <c r="H42" s="111">
        <v>100000</v>
      </c>
      <c r="I42" s="111"/>
      <c r="J42" s="110" t="s">
        <v>17</v>
      </c>
      <c r="K42" s="110" t="s">
        <v>81</v>
      </c>
      <c r="L42" s="103" t="s">
        <v>61</v>
      </c>
    </row>
    <row r="43" spans="1:12" s="105" customFormat="1" x14ac:dyDescent="0.45">
      <c r="A43" s="121"/>
      <c r="B43" s="108" t="s">
        <v>174</v>
      </c>
      <c r="C43" s="104" t="s">
        <v>76</v>
      </c>
      <c r="D43" s="104" t="s">
        <v>176</v>
      </c>
      <c r="E43" s="112"/>
      <c r="F43" s="112"/>
      <c r="G43" s="112"/>
      <c r="H43" s="112"/>
      <c r="I43" s="112"/>
      <c r="J43" s="104" t="s">
        <v>18</v>
      </c>
      <c r="K43" s="104" t="s">
        <v>82</v>
      </c>
      <c r="L43" s="106"/>
    </row>
    <row r="44" spans="1:12" s="105" customFormat="1" x14ac:dyDescent="0.45">
      <c r="A44" s="121"/>
      <c r="B44" s="108"/>
      <c r="C44" s="104" t="s">
        <v>77</v>
      </c>
      <c r="D44" s="104"/>
      <c r="E44" s="112"/>
      <c r="F44" s="112"/>
      <c r="G44" s="112"/>
      <c r="H44" s="112"/>
      <c r="I44" s="112"/>
      <c r="J44" s="104" t="s">
        <v>83</v>
      </c>
      <c r="K44" s="104" t="s">
        <v>80</v>
      </c>
      <c r="L44" s="106"/>
    </row>
    <row r="45" spans="1:12" s="105" customFormat="1" ht="16.5" customHeight="1" x14ac:dyDescent="0.45">
      <c r="A45" s="116"/>
      <c r="B45" s="113"/>
      <c r="C45" s="107"/>
      <c r="D45" s="107"/>
      <c r="E45" s="114"/>
      <c r="F45" s="114"/>
      <c r="G45" s="114"/>
      <c r="H45" s="114"/>
      <c r="I45" s="114"/>
      <c r="J45" s="115" t="s">
        <v>84</v>
      </c>
      <c r="K45" s="115"/>
      <c r="L45" s="107"/>
    </row>
    <row r="46" spans="1:12" s="24" customFormat="1" x14ac:dyDescent="0.45">
      <c r="A46" s="192" t="s">
        <v>182</v>
      </c>
      <c r="B46" s="192"/>
      <c r="C46" s="192"/>
      <c r="D46" s="192"/>
      <c r="E46" s="100">
        <f>SUM(E20,E27,E31,E35,E39,E42)</f>
        <v>0</v>
      </c>
      <c r="F46" s="100">
        <f t="shared" ref="F46:I46" si="0">SUM(F20,F27,F31,F35,F39,F42)</f>
        <v>0</v>
      </c>
      <c r="G46" s="100">
        <f t="shared" si="0"/>
        <v>0</v>
      </c>
      <c r="H46" s="102">
        <f t="shared" si="0"/>
        <v>14050000</v>
      </c>
      <c r="I46" s="100">
        <f t="shared" si="0"/>
        <v>0</v>
      </c>
      <c r="J46" s="205"/>
      <c r="K46" s="205"/>
      <c r="L46" s="205"/>
    </row>
    <row r="47" spans="1:12" s="24" customFormat="1" ht="18" customHeight="1" x14ac:dyDescent="0.45">
      <c r="A47" s="213" t="s">
        <v>0</v>
      </c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</row>
    <row r="48" spans="1:12" s="24" customFormat="1" ht="18" customHeight="1" x14ac:dyDescent="0.45">
      <c r="A48" s="200" t="s">
        <v>252</v>
      </c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</row>
    <row r="49" spans="1:13" s="24" customFormat="1" ht="18" customHeight="1" x14ac:dyDescent="0.45">
      <c r="A49" s="213" t="s">
        <v>19</v>
      </c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</row>
    <row r="50" spans="1:13" s="26" customFormat="1" ht="20.25" customHeight="1" x14ac:dyDescent="0.45">
      <c r="A50" s="197" t="s">
        <v>1</v>
      </c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</row>
    <row r="51" spans="1:13" s="26" customFormat="1" ht="20.25" customHeight="1" x14ac:dyDescent="0.45">
      <c r="A51" s="197" t="s">
        <v>2</v>
      </c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</row>
    <row r="52" spans="1:13" s="26" customFormat="1" ht="20.25" customHeight="1" x14ac:dyDescent="0.45">
      <c r="A52" s="27"/>
      <c r="B52" s="199" t="s">
        <v>3</v>
      </c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</row>
    <row r="53" spans="1:13" s="26" customFormat="1" ht="20.25" customHeight="1" x14ac:dyDescent="0.45">
      <c r="A53" s="27"/>
      <c r="B53" s="199" t="s">
        <v>4</v>
      </c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</row>
    <row r="54" spans="1:13" s="24" customFormat="1" ht="20.25" customHeight="1" x14ac:dyDescent="0.45">
      <c r="A54" s="197" t="s">
        <v>5</v>
      </c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</row>
    <row r="55" spans="1:13" s="24" customFormat="1" ht="20.25" customHeight="1" x14ac:dyDescent="0.45">
      <c r="A55" s="197" t="s">
        <v>6</v>
      </c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</row>
    <row r="56" spans="1:13" s="26" customFormat="1" ht="20.25" customHeight="1" x14ac:dyDescent="0.45">
      <c r="A56" s="197" t="s">
        <v>7</v>
      </c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</row>
    <row r="57" spans="1:13" s="24" customFormat="1" ht="20.25" customHeight="1" x14ac:dyDescent="0.45">
      <c r="A57" s="197" t="s">
        <v>20</v>
      </c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</row>
    <row r="58" spans="1:13" s="24" customFormat="1" ht="20.25" customHeight="1" x14ac:dyDescent="0.45">
      <c r="A58" s="197" t="s">
        <v>27</v>
      </c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</row>
    <row r="59" spans="1:13" s="24" customFormat="1" ht="20.25" customHeight="1" x14ac:dyDescent="0.45">
      <c r="A59" s="197" t="s">
        <v>28</v>
      </c>
      <c r="B59" s="197"/>
      <c r="C59" s="197"/>
      <c r="D59" s="197"/>
      <c r="E59" s="197"/>
      <c r="F59" s="197"/>
      <c r="G59" s="197"/>
      <c r="H59" s="25"/>
      <c r="I59" s="25"/>
      <c r="J59" s="25"/>
      <c r="K59" s="25"/>
      <c r="L59" s="25"/>
    </row>
    <row r="60" spans="1:13" s="24" customFormat="1" ht="20.25" customHeight="1" x14ac:dyDescent="0.45">
      <c r="A60" s="197" t="s">
        <v>29</v>
      </c>
      <c r="B60" s="197"/>
      <c r="C60" s="197"/>
      <c r="D60" s="197"/>
      <c r="E60" s="197"/>
      <c r="F60" s="197"/>
      <c r="G60" s="197"/>
      <c r="H60" s="25"/>
      <c r="I60" s="25"/>
      <c r="J60" s="25"/>
      <c r="K60" s="25"/>
      <c r="L60" s="25"/>
    </row>
    <row r="61" spans="1:13" s="2" customFormat="1" ht="20.25" customHeight="1" x14ac:dyDescent="0.2">
      <c r="A61" s="212" t="s">
        <v>21</v>
      </c>
      <c r="B61" s="212"/>
      <c r="C61" s="212"/>
      <c r="D61" s="212"/>
      <c r="E61" s="212"/>
      <c r="F61" s="28"/>
      <c r="G61" s="28"/>
      <c r="H61" s="28"/>
      <c r="I61" s="28"/>
      <c r="J61" s="28"/>
      <c r="K61" s="28"/>
      <c r="L61" s="28"/>
    </row>
    <row r="62" spans="1:13" s="2" customFormat="1" ht="27" customHeight="1" x14ac:dyDescent="0.2">
      <c r="A62" s="29"/>
      <c r="B62" s="28" t="s">
        <v>25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spans="1:13" s="24" customFormat="1" ht="22.5" customHeight="1" x14ac:dyDescent="0.45">
      <c r="A63" s="206" t="s">
        <v>9</v>
      </c>
      <c r="B63" s="206" t="s">
        <v>10</v>
      </c>
      <c r="C63" s="206" t="s">
        <v>11</v>
      </c>
      <c r="D63" s="31" t="s">
        <v>22</v>
      </c>
      <c r="E63" s="209" t="s">
        <v>12</v>
      </c>
      <c r="F63" s="210"/>
      <c r="G63" s="210"/>
      <c r="H63" s="210"/>
      <c r="I63" s="211"/>
      <c r="J63" s="201" t="s">
        <v>13</v>
      </c>
      <c r="K63" s="201" t="s">
        <v>14</v>
      </c>
      <c r="L63" s="201" t="s">
        <v>15</v>
      </c>
    </row>
    <row r="64" spans="1:13" s="24" customFormat="1" ht="22.5" customHeight="1" x14ac:dyDescent="0.45">
      <c r="A64" s="207"/>
      <c r="B64" s="207"/>
      <c r="C64" s="207"/>
      <c r="D64" s="33" t="s">
        <v>23</v>
      </c>
      <c r="E64" s="32">
        <v>2566</v>
      </c>
      <c r="F64" s="30">
        <v>2567</v>
      </c>
      <c r="G64" s="32">
        <v>2568</v>
      </c>
      <c r="H64" s="30">
        <v>2569</v>
      </c>
      <c r="I64" s="32">
        <v>2570</v>
      </c>
      <c r="J64" s="202"/>
      <c r="K64" s="202"/>
      <c r="L64" s="202"/>
    </row>
    <row r="65" spans="1:12" s="24" customFormat="1" ht="22.5" customHeight="1" x14ac:dyDescent="0.45">
      <c r="A65" s="208"/>
      <c r="B65" s="208"/>
      <c r="C65" s="208"/>
      <c r="D65" s="35" t="s">
        <v>10</v>
      </c>
      <c r="E65" s="30" t="s">
        <v>16</v>
      </c>
      <c r="F65" s="30" t="s">
        <v>16</v>
      </c>
      <c r="G65" s="30" t="s">
        <v>16</v>
      </c>
      <c r="H65" s="30" t="s">
        <v>16</v>
      </c>
      <c r="I65" s="30" t="s">
        <v>16</v>
      </c>
      <c r="J65" s="203"/>
      <c r="K65" s="203"/>
      <c r="L65" s="203"/>
    </row>
    <row r="66" spans="1:12" ht="22.5" customHeight="1" x14ac:dyDescent="0.45">
      <c r="A66" s="21">
        <v>1</v>
      </c>
      <c r="B66" s="131" t="s">
        <v>97</v>
      </c>
      <c r="C66" s="39" t="s">
        <v>75</v>
      </c>
      <c r="D66" s="5" t="s">
        <v>98</v>
      </c>
      <c r="E66" s="40"/>
      <c r="F66" s="40"/>
      <c r="G66" s="40"/>
      <c r="H66" s="40">
        <v>400000</v>
      </c>
      <c r="I66" s="40"/>
      <c r="J66" s="39" t="s">
        <v>17</v>
      </c>
      <c r="K66" s="39" t="s">
        <v>99</v>
      </c>
      <c r="L66" s="39" t="s">
        <v>61</v>
      </c>
    </row>
    <row r="67" spans="1:12" ht="22.5" customHeight="1" x14ac:dyDescent="0.45">
      <c r="A67" s="21"/>
      <c r="B67" s="132" t="s">
        <v>177</v>
      </c>
      <c r="C67" s="39" t="s">
        <v>100</v>
      </c>
      <c r="D67" s="5" t="s">
        <v>194</v>
      </c>
      <c r="E67" s="40"/>
      <c r="F67" s="40"/>
      <c r="G67" s="40"/>
      <c r="H67" s="40"/>
      <c r="I67" s="40"/>
      <c r="J67" s="39" t="s">
        <v>18</v>
      </c>
      <c r="K67" s="39" t="s">
        <v>101</v>
      </c>
      <c r="L67" s="39"/>
    </row>
    <row r="68" spans="1:12" ht="22.5" customHeight="1" x14ac:dyDescent="0.45">
      <c r="A68" s="21"/>
      <c r="B68" s="132" t="s">
        <v>85</v>
      </c>
      <c r="C68" s="39" t="s">
        <v>102</v>
      </c>
      <c r="D68" s="5"/>
      <c r="E68" s="40"/>
      <c r="F68" s="40"/>
      <c r="G68" s="40"/>
      <c r="H68" s="40"/>
      <c r="I68" s="40"/>
      <c r="J68" s="39" t="s">
        <v>103</v>
      </c>
      <c r="K68" s="39" t="s">
        <v>104</v>
      </c>
      <c r="L68" s="39"/>
    </row>
    <row r="69" spans="1:12" ht="22.5" customHeight="1" x14ac:dyDescent="0.45">
      <c r="A69" s="22"/>
      <c r="B69" s="23"/>
      <c r="C69" s="41"/>
      <c r="D69" s="41"/>
      <c r="E69" s="42"/>
      <c r="F69" s="42"/>
      <c r="G69" s="42"/>
      <c r="H69" s="42"/>
      <c r="I69" s="42"/>
      <c r="J69" s="41" t="s">
        <v>102</v>
      </c>
      <c r="K69" s="41"/>
      <c r="L69" s="41"/>
    </row>
    <row r="70" spans="1:12" s="24" customFormat="1" ht="22.5" customHeight="1" x14ac:dyDescent="0.45">
      <c r="A70" s="206" t="s">
        <v>9</v>
      </c>
      <c r="B70" s="206" t="s">
        <v>10</v>
      </c>
      <c r="C70" s="206" t="s">
        <v>11</v>
      </c>
      <c r="D70" s="31" t="s">
        <v>22</v>
      </c>
      <c r="E70" s="209" t="s">
        <v>12</v>
      </c>
      <c r="F70" s="210"/>
      <c r="G70" s="210"/>
      <c r="H70" s="210"/>
      <c r="I70" s="211"/>
      <c r="J70" s="201" t="s">
        <v>13</v>
      </c>
      <c r="K70" s="201" t="s">
        <v>14</v>
      </c>
      <c r="L70" s="201" t="s">
        <v>15</v>
      </c>
    </row>
    <row r="71" spans="1:12" s="24" customFormat="1" ht="22.5" customHeight="1" x14ac:dyDescent="0.45">
      <c r="A71" s="207"/>
      <c r="B71" s="207"/>
      <c r="C71" s="207"/>
      <c r="D71" s="33" t="s">
        <v>23</v>
      </c>
      <c r="E71" s="32">
        <v>2566</v>
      </c>
      <c r="F71" s="30">
        <v>2567</v>
      </c>
      <c r="G71" s="32">
        <v>2568</v>
      </c>
      <c r="H71" s="30">
        <v>2569</v>
      </c>
      <c r="I71" s="32">
        <v>2570</v>
      </c>
      <c r="J71" s="202"/>
      <c r="K71" s="202"/>
      <c r="L71" s="202"/>
    </row>
    <row r="72" spans="1:12" s="24" customFormat="1" ht="22.5" customHeight="1" x14ac:dyDescent="0.45">
      <c r="A72" s="208"/>
      <c r="B72" s="208"/>
      <c r="C72" s="208"/>
      <c r="D72" s="33" t="s">
        <v>10</v>
      </c>
      <c r="E72" s="30" t="s">
        <v>16</v>
      </c>
      <c r="F72" s="30" t="s">
        <v>16</v>
      </c>
      <c r="G72" s="30" t="s">
        <v>16</v>
      </c>
      <c r="H72" s="30" t="s">
        <v>16</v>
      </c>
      <c r="I72" s="30" t="s">
        <v>16</v>
      </c>
      <c r="J72" s="203"/>
      <c r="K72" s="203"/>
      <c r="L72" s="203"/>
    </row>
    <row r="73" spans="1:12" ht="23.25" customHeight="1" x14ac:dyDescent="0.45">
      <c r="A73" s="43">
        <v>2</v>
      </c>
      <c r="B73" s="131" t="s">
        <v>249</v>
      </c>
      <c r="C73" s="36" t="s">
        <v>270</v>
      </c>
      <c r="D73" s="43" t="s">
        <v>251</v>
      </c>
      <c r="E73" s="174"/>
      <c r="F73" s="38"/>
      <c r="G73" s="38"/>
      <c r="H73" s="38">
        <v>100000</v>
      </c>
      <c r="I73" s="38"/>
      <c r="J73" s="36" t="s">
        <v>17</v>
      </c>
      <c r="K73" s="36" t="s">
        <v>300</v>
      </c>
      <c r="L73" s="36" t="s">
        <v>61</v>
      </c>
    </row>
    <row r="74" spans="1:12" ht="23.25" customHeight="1" x14ac:dyDescent="0.45">
      <c r="A74" s="21"/>
      <c r="B74" s="132" t="s">
        <v>250</v>
      </c>
      <c r="C74" s="39" t="s">
        <v>271</v>
      </c>
      <c r="D74" s="5" t="s">
        <v>261</v>
      </c>
      <c r="E74" s="175"/>
      <c r="F74" s="40"/>
      <c r="G74" s="40"/>
      <c r="H74" s="40"/>
      <c r="I74" s="40"/>
      <c r="J74" s="39" t="s">
        <v>299</v>
      </c>
      <c r="K74" s="39" t="s">
        <v>301</v>
      </c>
      <c r="L74" s="39"/>
    </row>
    <row r="75" spans="1:12" ht="23.25" customHeight="1" x14ac:dyDescent="0.45">
      <c r="A75" s="21"/>
      <c r="B75" s="132"/>
      <c r="C75" s="39" t="s">
        <v>56</v>
      </c>
      <c r="D75" s="5" t="s">
        <v>262</v>
      </c>
      <c r="E75" s="175"/>
      <c r="F75" s="40"/>
      <c r="G75" s="40"/>
      <c r="H75" s="40"/>
      <c r="I75" s="40"/>
      <c r="J75" s="39"/>
      <c r="K75" s="39"/>
      <c r="L75" s="39"/>
    </row>
    <row r="76" spans="1:12" ht="23.25" customHeight="1" x14ac:dyDescent="0.45">
      <c r="A76" s="21"/>
      <c r="B76" s="7"/>
      <c r="C76" s="39"/>
      <c r="D76" s="39" t="s">
        <v>178</v>
      </c>
      <c r="E76" s="175"/>
      <c r="F76" s="40"/>
      <c r="G76" s="40"/>
      <c r="H76" s="40"/>
      <c r="I76" s="40"/>
      <c r="J76" s="39"/>
      <c r="K76" s="39"/>
      <c r="L76" s="39"/>
    </row>
    <row r="77" spans="1:12" ht="23.25" customHeight="1" x14ac:dyDescent="0.45">
      <c r="A77" s="21"/>
      <c r="B77" s="7"/>
      <c r="C77" s="7"/>
      <c r="D77" s="21"/>
      <c r="E77" s="176"/>
      <c r="F77" s="7"/>
      <c r="G77" s="7"/>
      <c r="H77" s="7"/>
      <c r="I77" s="7"/>
      <c r="J77" s="7"/>
      <c r="K77" s="7"/>
      <c r="L77" s="7"/>
    </row>
    <row r="78" spans="1:12" ht="23.25" customHeight="1" x14ac:dyDescent="0.45">
      <c r="A78" s="22"/>
      <c r="B78" s="23"/>
      <c r="C78" s="23"/>
      <c r="D78" s="23"/>
      <c r="E78" s="177"/>
      <c r="F78" s="23"/>
      <c r="G78" s="23"/>
      <c r="H78" s="23"/>
      <c r="I78" s="23"/>
      <c r="J78" s="23"/>
      <c r="K78" s="23"/>
      <c r="L78" s="23"/>
    </row>
    <row r="79" spans="1:12" s="24" customFormat="1" x14ac:dyDescent="0.45">
      <c r="A79" s="192" t="s">
        <v>24</v>
      </c>
      <c r="B79" s="192"/>
      <c r="C79" s="192"/>
      <c r="D79" s="204"/>
      <c r="E79" s="100">
        <f>SUM(E66,E73)</f>
        <v>0</v>
      </c>
      <c r="F79" s="100">
        <f t="shared" ref="F79:I79" si="1">SUM(F66,F73)</f>
        <v>0</v>
      </c>
      <c r="G79" s="100">
        <f t="shared" si="1"/>
        <v>0</v>
      </c>
      <c r="H79" s="122">
        <f t="shared" si="1"/>
        <v>500000</v>
      </c>
      <c r="I79" s="100">
        <f t="shared" si="1"/>
        <v>0</v>
      </c>
      <c r="J79" s="205"/>
      <c r="K79" s="205"/>
      <c r="L79" s="205"/>
    </row>
  </sheetData>
  <mergeCells count="62">
    <mergeCell ref="A11:L11"/>
    <mergeCell ref="L17:L19"/>
    <mergeCell ref="B6:M6"/>
    <mergeCell ref="B7:M7"/>
    <mergeCell ref="A8:L8"/>
    <mergeCell ref="A9:L9"/>
    <mergeCell ref="A10:L10"/>
    <mergeCell ref="K17:K19"/>
    <mergeCell ref="A13:G13"/>
    <mergeCell ref="A15:E15"/>
    <mergeCell ref="A17:A19"/>
    <mergeCell ref="A12:L12"/>
    <mergeCell ref="A14:G14"/>
    <mergeCell ref="A1:L1"/>
    <mergeCell ref="A2:L2"/>
    <mergeCell ref="A3:L3"/>
    <mergeCell ref="A4:L4"/>
    <mergeCell ref="A5:L5"/>
    <mergeCell ref="A57:L57"/>
    <mergeCell ref="A58:L58"/>
    <mergeCell ref="A59:G59"/>
    <mergeCell ref="B17:B19"/>
    <mergeCell ref="C17:C19"/>
    <mergeCell ref="E17:I17"/>
    <mergeCell ref="J17:J19"/>
    <mergeCell ref="K24:K26"/>
    <mergeCell ref="A46:D46"/>
    <mergeCell ref="J46:L46"/>
    <mergeCell ref="L24:L26"/>
    <mergeCell ref="A24:A26"/>
    <mergeCell ref="B24:B26"/>
    <mergeCell ref="C24:C26"/>
    <mergeCell ref="E24:I24"/>
    <mergeCell ref="J24:J26"/>
    <mergeCell ref="A47:L47"/>
    <mergeCell ref="A48:L48"/>
    <mergeCell ref="A49:L49"/>
    <mergeCell ref="A50:L50"/>
    <mergeCell ref="A51:L51"/>
    <mergeCell ref="B52:M52"/>
    <mergeCell ref="B53:M53"/>
    <mergeCell ref="A54:L54"/>
    <mergeCell ref="A55:L55"/>
    <mergeCell ref="A56:L56"/>
    <mergeCell ref="A60:G60"/>
    <mergeCell ref="A61:E61"/>
    <mergeCell ref="A63:A65"/>
    <mergeCell ref="B63:B65"/>
    <mergeCell ref="C63:C65"/>
    <mergeCell ref="E63:I63"/>
    <mergeCell ref="J63:J65"/>
    <mergeCell ref="K63:K65"/>
    <mergeCell ref="L63:L65"/>
    <mergeCell ref="A79:D79"/>
    <mergeCell ref="J79:L79"/>
    <mergeCell ref="A70:A72"/>
    <mergeCell ref="B70:B72"/>
    <mergeCell ref="C70:C72"/>
    <mergeCell ref="E70:I70"/>
    <mergeCell ref="J70:J72"/>
    <mergeCell ref="K70:K72"/>
    <mergeCell ref="L70:L72"/>
  </mergeCells>
  <pageMargins left="0.25" right="0.25" top="0.75" bottom="0.75" header="0.3" footer="0.3"/>
  <pageSetup paperSize="9" orientation="landscape" horizontalDpi="4294967293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900A-274E-4A4D-8022-59164B572578}">
  <dimension ref="A1:M77"/>
  <sheetViews>
    <sheetView view="pageLayout" topLeftCell="A61" zoomScaleNormal="100" workbookViewId="0">
      <selection activeCell="B62" sqref="B62"/>
    </sheetView>
  </sheetViews>
  <sheetFormatPr defaultColWidth="8.625" defaultRowHeight="21" x14ac:dyDescent="0.45"/>
  <cols>
    <col min="1" max="1" width="4.125" style="3" customWidth="1"/>
    <col min="2" max="2" width="31.625" style="4" customWidth="1"/>
    <col min="3" max="4" width="15.5" style="4" customWidth="1"/>
    <col min="5" max="7" width="5.5" style="4" customWidth="1"/>
    <col min="8" max="8" width="6.875" style="4" customWidth="1"/>
    <col min="9" max="9" width="6.5" style="4" customWidth="1"/>
    <col min="10" max="10" width="14.5" style="4" customWidth="1"/>
    <col min="11" max="11" width="15.125" style="4" customWidth="1"/>
    <col min="12" max="12" width="7.625" style="4" customWidth="1"/>
    <col min="13" max="16384" width="8.625" style="4"/>
  </cols>
  <sheetData>
    <row r="1" spans="1:13" s="24" customFormat="1" ht="17.25" customHeight="1" x14ac:dyDescent="0.45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</row>
    <row r="2" spans="1:13" s="24" customFormat="1" ht="17.25" customHeight="1" x14ac:dyDescent="0.45">
      <c r="A2" s="200" t="s">
        <v>252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</row>
    <row r="3" spans="1:13" s="24" customFormat="1" ht="17.25" customHeight="1" x14ac:dyDescent="0.45">
      <c r="A3" s="213" t="s">
        <v>19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</row>
    <row r="4" spans="1:13" s="26" customFormat="1" x14ac:dyDescent="0.45">
      <c r="A4" s="197" t="s">
        <v>1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</row>
    <row r="5" spans="1:13" s="26" customFormat="1" x14ac:dyDescent="0.45">
      <c r="A5" s="197" t="s">
        <v>2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</row>
    <row r="6" spans="1:13" s="26" customFormat="1" x14ac:dyDescent="0.45">
      <c r="A6" s="27"/>
      <c r="B6" s="199" t="s">
        <v>3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</row>
    <row r="7" spans="1:13" s="26" customFormat="1" x14ac:dyDescent="0.45">
      <c r="A7" s="27"/>
      <c r="B7" s="199" t="s">
        <v>4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</row>
    <row r="8" spans="1:13" s="24" customFormat="1" x14ac:dyDescent="0.45">
      <c r="A8" s="197" t="s">
        <v>5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</row>
    <row r="9" spans="1:13" s="24" customFormat="1" x14ac:dyDescent="0.45">
      <c r="A9" s="197" t="s">
        <v>6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</row>
    <row r="10" spans="1:13" s="26" customFormat="1" x14ac:dyDescent="0.45">
      <c r="A10" s="197" t="s">
        <v>7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</row>
    <row r="11" spans="1:13" s="24" customFormat="1" x14ac:dyDescent="0.45">
      <c r="A11" s="197" t="s">
        <v>20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</row>
    <row r="12" spans="1:13" s="24" customFormat="1" x14ac:dyDescent="0.45">
      <c r="A12" s="197" t="s">
        <v>27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</row>
    <row r="13" spans="1:13" s="24" customFormat="1" x14ac:dyDescent="0.45">
      <c r="A13" s="197" t="s">
        <v>28</v>
      </c>
      <c r="B13" s="197"/>
      <c r="C13" s="197"/>
      <c r="D13" s="197"/>
      <c r="E13" s="197"/>
      <c r="F13" s="197"/>
      <c r="G13" s="197"/>
      <c r="H13" s="25"/>
      <c r="I13" s="25"/>
      <c r="J13" s="25"/>
      <c r="K13" s="25"/>
      <c r="L13" s="25"/>
    </row>
    <row r="14" spans="1:13" s="24" customFormat="1" x14ac:dyDescent="0.45">
      <c r="A14" s="197" t="s">
        <v>29</v>
      </c>
      <c r="B14" s="197"/>
      <c r="C14" s="197"/>
      <c r="D14" s="197"/>
      <c r="E14" s="197"/>
      <c r="F14" s="197"/>
      <c r="G14" s="197"/>
      <c r="H14" s="25"/>
      <c r="I14" s="25"/>
      <c r="J14" s="25"/>
      <c r="K14" s="25"/>
      <c r="L14" s="25"/>
    </row>
    <row r="15" spans="1:13" s="2" customFormat="1" ht="21" customHeight="1" x14ac:dyDescent="0.2">
      <c r="A15" s="212" t="s">
        <v>8</v>
      </c>
      <c r="B15" s="212"/>
      <c r="C15" s="212"/>
      <c r="D15" s="212"/>
      <c r="E15" s="212"/>
      <c r="F15" s="28"/>
      <c r="G15" s="28"/>
      <c r="H15" s="28"/>
      <c r="I15" s="28"/>
      <c r="J15" s="28"/>
      <c r="K15" s="28"/>
      <c r="L15" s="28"/>
    </row>
    <row r="16" spans="1:13" s="2" customFormat="1" ht="33.75" customHeight="1" x14ac:dyDescent="0.2">
      <c r="A16" s="29"/>
      <c r="B16" s="28" t="s">
        <v>272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 s="24" customFormat="1" ht="20.45" customHeight="1" x14ac:dyDescent="0.45">
      <c r="A17" s="198" t="s">
        <v>9</v>
      </c>
      <c r="B17" s="198" t="s">
        <v>10</v>
      </c>
      <c r="C17" s="198" t="s">
        <v>11</v>
      </c>
      <c r="D17" s="31" t="s">
        <v>22</v>
      </c>
      <c r="E17" s="198" t="s">
        <v>12</v>
      </c>
      <c r="F17" s="198"/>
      <c r="G17" s="198"/>
      <c r="H17" s="198"/>
      <c r="I17" s="198"/>
      <c r="J17" s="196" t="s">
        <v>13</v>
      </c>
      <c r="K17" s="196" t="s">
        <v>14</v>
      </c>
      <c r="L17" s="196" t="s">
        <v>15</v>
      </c>
    </row>
    <row r="18" spans="1:12" s="24" customFormat="1" x14ac:dyDescent="0.45">
      <c r="A18" s="198"/>
      <c r="B18" s="198"/>
      <c r="C18" s="198"/>
      <c r="D18" s="33" t="s">
        <v>23</v>
      </c>
      <c r="E18" s="32">
        <v>2566</v>
      </c>
      <c r="F18" s="30">
        <v>2567</v>
      </c>
      <c r="G18" s="32">
        <v>2568</v>
      </c>
      <c r="H18" s="30">
        <v>2569</v>
      </c>
      <c r="I18" s="32">
        <v>2570</v>
      </c>
      <c r="J18" s="196"/>
      <c r="K18" s="196"/>
      <c r="L18" s="196"/>
    </row>
    <row r="19" spans="1:12" s="24" customFormat="1" x14ac:dyDescent="0.45">
      <c r="A19" s="198"/>
      <c r="B19" s="198"/>
      <c r="C19" s="198"/>
      <c r="D19" s="35" t="s">
        <v>10</v>
      </c>
      <c r="E19" s="30" t="s">
        <v>16</v>
      </c>
      <c r="F19" s="30" t="s">
        <v>16</v>
      </c>
      <c r="G19" s="30" t="s">
        <v>16</v>
      </c>
      <c r="H19" s="30" t="s">
        <v>16</v>
      </c>
      <c r="I19" s="34" t="s">
        <v>16</v>
      </c>
      <c r="J19" s="201"/>
      <c r="K19" s="201"/>
      <c r="L19" s="201"/>
    </row>
    <row r="20" spans="1:12" s="105" customFormat="1" x14ac:dyDescent="0.45">
      <c r="A20" s="11">
        <v>1</v>
      </c>
      <c r="B20" s="98" t="s">
        <v>147</v>
      </c>
      <c r="C20" s="109" t="s">
        <v>75</v>
      </c>
      <c r="D20" s="110" t="s">
        <v>185</v>
      </c>
      <c r="E20" s="111"/>
      <c r="F20" s="111"/>
      <c r="G20" s="111"/>
      <c r="H20" s="111">
        <v>50000</v>
      </c>
      <c r="I20" s="111"/>
      <c r="J20" s="110" t="s">
        <v>17</v>
      </c>
      <c r="K20" s="110" t="s">
        <v>81</v>
      </c>
      <c r="L20" s="103" t="s">
        <v>61</v>
      </c>
    </row>
    <row r="21" spans="1:12" s="105" customFormat="1" x14ac:dyDescent="0.45">
      <c r="A21" s="121"/>
      <c r="B21" s="108" t="s">
        <v>183</v>
      </c>
      <c r="C21" s="109" t="s">
        <v>76</v>
      </c>
      <c r="D21" s="104" t="s">
        <v>186</v>
      </c>
      <c r="E21" s="112"/>
      <c r="F21" s="112"/>
      <c r="G21" s="112"/>
      <c r="H21" s="112"/>
      <c r="I21" s="112"/>
      <c r="J21" s="104" t="s">
        <v>18</v>
      </c>
      <c r="K21" s="104" t="s">
        <v>82</v>
      </c>
      <c r="L21" s="106"/>
    </row>
    <row r="22" spans="1:12" s="105" customFormat="1" x14ac:dyDescent="0.45">
      <c r="A22" s="121"/>
      <c r="B22" s="108" t="s">
        <v>184</v>
      </c>
      <c r="C22" s="109" t="s">
        <v>77</v>
      </c>
      <c r="D22" s="104" t="s">
        <v>114</v>
      </c>
      <c r="E22" s="112"/>
      <c r="F22" s="112"/>
      <c r="G22" s="112"/>
      <c r="H22" s="112"/>
      <c r="I22" s="112"/>
      <c r="J22" s="104" t="s">
        <v>83</v>
      </c>
      <c r="K22" s="104" t="s">
        <v>80</v>
      </c>
      <c r="L22" s="106"/>
    </row>
    <row r="23" spans="1:12" s="105" customFormat="1" ht="16.5" customHeight="1" x14ac:dyDescent="0.45">
      <c r="A23" s="116"/>
      <c r="B23" s="113"/>
      <c r="C23" s="117"/>
      <c r="D23" s="107"/>
      <c r="E23" s="114"/>
      <c r="F23" s="114"/>
      <c r="G23" s="114"/>
      <c r="H23" s="114"/>
      <c r="I23" s="114"/>
      <c r="J23" s="115" t="s">
        <v>84</v>
      </c>
      <c r="K23" s="115"/>
      <c r="L23" s="107"/>
    </row>
    <row r="24" spans="1:12" s="24" customFormat="1" ht="20.45" customHeight="1" x14ac:dyDescent="0.45">
      <c r="A24" s="198" t="s">
        <v>9</v>
      </c>
      <c r="B24" s="198" t="s">
        <v>10</v>
      </c>
      <c r="C24" s="198" t="s">
        <v>11</v>
      </c>
      <c r="D24" s="31" t="s">
        <v>22</v>
      </c>
      <c r="E24" s="198" t="s">
        <v>12</v>
      </c>
      <c r="F24" s="198"/>
      <c r="G24" s="198"/>
      <c r="H24" s="198"/>
      <c r="I24" s="198"/>
      <c r="J24" s="196" t="s">
        <v>13</v>
      </c>
      <c r="K24" s="196" t="s">
        <v>14</v>
      </c>
      <c r="L24" s="196" t="s">
        <v>15</v>
      </c>
    </row>
    <row r="25" spans="1:12" s="24" customFormat="1" x14ac:dyDescent="0.45">
      <c r="A25" s="198"/>
      <c r="B25" s="198"/>
      <c r="C25" s="198"/>
      <c r="D25" s="33" t="s">
        <v>23</v>
      </c>
      <c r="E25" s="32">
        <v>2566</v>
      </c>
      <c r="F25" s="30">
        <v>2567</v>
      </c>
      <c r="G25" s="32">
        <v>2568</v>
      </c>
      <c r="H25" s="30">
        <v>2569</v>
      </c>
      <c r="I25" s="32">
        <v>2570</v>
      </c>
      <c r="J25" s="196"/>
      <c r="K25" s="196"/>
      <c r="L25" s="196"/>
    </row>
    <row r="26" spans="1:12" s="24" customFormat="1" x14ac:dyDescent="0.45">
      <c r="A26" s="206"/>
      <c r="B26" s="206"/>
      <c r="C26" s="206"/>
      <c r="D26" s="33" t="s">
        <v>10</v>
      </c>
      <c r="E26" s="34" t="s">
        <v>16</v>
      </c>
      <c r="F26" s="34" t="s">
        <v>16</v>
      </c>
      <c r="G26" s="34" t="s">
        <v>16</v>
      </c>
      <c r="H26" s="34" t="s">
        <v>16</v>
      </c>
      <c r="I26" s="34" t="s">
        <v>16</v>
      </c>
      <c r="J26" s="201"/>
      <c r="K26" s="201"/>
      <c r="L26" s="201"/>
    </row>
    <row r="27" spans="1:12" s="105" customFormat="1" x14ac:dyDescent="0.45">
      <c r="A27" s="18">
        <v>2</v>
      </c>
      <c r="B27" s="98" t="s">
        <v>147</v>
      </c>
      <c r="C27" s="159" t="s">
        <v>75</v>
      </c>
      <c r="D27" s="110" t="s">
        <v>189</v>
      </c>
      <c r="E27" s="111"/>
      <c r="F27" s="111"/>
      <c r="G27" s="111"/>
      <c r="H27" s="111">
        <v>300000</v>
      </c>
      <c r="I27" s="111"/>
      <c r="J27" s="110" t="s">
        <v>17</v>
      </c>
      <c r="K27" s="110" t="s">
        <v>81</v>
      </c>
      <c r="L27" s="103" t="s">
        <v>61</v>
      </c>
    </row>
    <row r="28" spans="1:12" s="105" customFormat="1" x14ac:dyDescent="0.45">
      <c r="A28" s="121"/>
      <c r="B28" s="108" t="s">
        <v>187</v>
      </c>
      <c r="C28" s="109" t="s">
        <v>76</v>
      </c>
      <c r="D28" s="104" t="s">
        <v>190</v>
      </c>
      <c r="E28" s="112"/>
      <c r="F28" s="112"/>
      <c r="G28" s="112"/>
      <c r="H28" s="112"/>
      <c r="I28" s="112"/>
      <c r="J28" s="104" t="s">
        <v>18</v>
      </c>
      <c r="K28" s="104" t="s">
        <v>82</v>
      </c>
      <c r="L28" s="106"/>
    </row>
    <row r="29" spans="1:12" s="105" customFormat="1" x14ac:dyDescent="0.45">
      <c r="A29" s="121"/>
      <c r="B29" s="108" t="s">
        <v>188</v>
      </c>
      <c r="C29" s="109" t="s">
        <v>77</v>
      </c>
      <c r="D29" s="104" t="s">
        <v>114</v>
      </c>
      <c r="E29" s="112"/>
      <c r="F29" s="112"/>
      <c r="G29" s="112"/>
      <c r="H29" s="112"/>
      <c r="I29" s="112"/>
      <c r="J29" s="104" t="s">
        <v>83</v>
      </c>
      <c r="K29" s="104" t="s">
        <v>80</v>
      </c>
      <c r="L29" s="106"/>
    </row>
    <row r="30" spans="1:12" s="105" customFormat="1" ht="16.5" customHeight="1" x14ac:dyDescent="0.45">
      <c r="A30" s="121"/>
      <c r="B30" s="108"/>
      <c r="C30" s="119"/>
      <c r="D30" s="106"/>
      <c r="E30" s="112"/>
      <c r="F30" s="112"/>
      <c r="G30" s="112"/>
      <c r="H30" s="112"/>
      <c r="I30" s="112"/>
      <c r="J30" s="104" t="s">
        <v>84</v>
      </c>
      <c r="K30" s="104"/>
      <c r="L30" s="106"/>
    </row>
    <row r="31" spans="1:12" s="105" customFormat="1" x14ac:dyDescent="0.45">
      <c r="A31" s="43">
        <v>3</v>
      </c>
      <c r="B31" s="98" t="s">
        <v>275</v>
      </c>
      <c r="C31" s="110" t="s">
        <v>75</v>
      </c>
      <c r="D31" s="180" t="s">
        <v>285</v>
      </c>
      <c r="E31" s="111"/>
      <c r="F31" s="111"/>
      <c r="G31" s="111"/>
      <c r="H31" s="128">
        <v>2300000</v>
      </c>
      <c r="I31" s="111"/>
      <c r="J31" s="110" t="s">
        <v>17</v>
      </c>
      <c r="K31" s="110" t="s">
        <v>81</v>
      </c>
      <c r="L31" s="103" t="s">
        <v>61</v>
      </c>
    </row>
    <row r="32" spans="1:12" s="105" customFormat="1" x14ac:dyDescent="0.45">
      <c r="A32" s="182"/>
      <c r="B32" s="108" t="s">
        <v>273</v>
      </c>
      <c r="C32" s="104" t="s">
        <v>76</v>
      </c>
      <c r="D32" s="179" t="s">
        <v>286</v>
      </c>
      <c r="E32" s="112"/>
      <c r="F32" s="112"/>
      <c r="G32" s="112"/>
      <c r="H32" s="112"/>
      <c r="I32" s="112"/>
      <c r="J32" s="104" t="s">
        <v>18</v>
      </c>
      <c r="K32" s="104" t="s">
        <v>82</v>
      </c>
      <c r="L32" s="106"/>
    </row>
    <row r="33" spans="1:12" s="105" customFormat="1" x14ac:dyDescent="0.45">
      <c r="A33" s="182"/>
      <c r="B33" s="108" t="s">
        <v>274</v>
      </c>
      <c r="C33" s="104" t="s">
        <v>77</v>
      </c>
      <c r="D33" s="179" t="s">
        <v>114</v>
      </c>
      <c r="E33" s="112"/>
      <c r="F33" s="112"/>
      <c r="G33" s="112"/>
      <c r="H33" s="112"/>
      <c r="I33" s="112"/>
      <c r="J33" s="104" t="s">
        <v>83</v>
      </c>
      <c r="K33" s="104" t="s">
        <v>80</v>
      </c>
      <c r="L33" s="106"/>
    </row>
    <row r="34" spans="1:12" s="105" customFormat="1" ht="16.5" customHeight="1" x14ac:dyDescent="0.45">
      <c r="A34" s="183"/>
      <c r="B34" s="113"/>
      <c r="C34" s="107"/>
      <c r="D34" s="181"/>
      <c r="E34" s="114"/>
      <c r="F34" s="114"/>
      <c r="G34" s="114"/>
      <c r="H34" s="114"/>
      <c r="I34" s="114"/>
      <c r="J34" s="115" t="s">
        <v>84</v>
      </c>
      <c r="K34" s="115"/>
      <c r="L34" s="107"/>
    </row>
    <row r="35" spans="1:12" s="105" customFormat="1" x14ac:dyDescent="0.45">
      <c r="A35" s="11">
        <v>4</v>
      </c>
      <c r="B35" s="108" t="s">
        <v>275</v>
      </c>
      <c r="C35" s="104" t="s">
        <v>75</v>
      </c>
      <c r="D35" s="104" t="s">
        <v>93</v>
      </c>
      <c r="E35" s="112"/>
      <c r="F35" s="112"/>
      <c r="G35" s="112"/>
      <c r="H35" s="184"/>
      <c r="I35" s="186">
        <v>1100000</v>
      </c>
      <c r="J35" s="104" t="s">
        <v>17</v>
      </c>
      <c r="K35" s="104" t="s">
        <v>81</v>
      </c>
      <c r="L35" s="106" t="s">
        <v>61</v>
      </c>
    </row>
    <row r="36" spans="1:12" s="105" customFormat="1" x14ac:dyDescent="0.45">
      <c r="A36" s="121"/>
      <c r="B36" s="108" t="s">
        <v>287</v>
      </c>
      <c r="C36" s="104" t="s">
        <v>76</v>
      </c>
      <c r="D36" s="104" t="s">
        <v>289</v>
      </c>
      <c r="E36" s="112"/>
      <c r="F36" s="112"/>
      <c r="G36" s="112"/>
      <c r="H36" s="112"/>
      <c r="I36" s="112"/>
      <c r="J36" s="104" t="s">
        <v>18</v>
      </c>
      <c r="K36" s="104" t="s">
        <v>82</v>
      </c>
      <c r="L36" s="106"/>
    </row>
    <row r="37" spans="1:12" s="105" customFormat="1" x14ac:dyDescent="0.45">
      <c r="A37" s="121"/>
      <c r="B37" s="108" t="s">
        <v>288</v>
      </c>
      <c r="C37" s="104" t="s">
        <v>77</v>
      </c>
      <c r="D37" s="104" t="s">
        <v>114</v>
      </c>
      <c r="E37" s="112"/>
      <c r="F37" s="112"/>
      <c r="G37" s="112"/>
      <c r="H37" s="112"/>
      <c r="I37" s="112"/>
      <c r="J37" s="104" t="s">
        <v>83</v>
      </c>
      <c r="K37" s="104" t="s">
        <v>80</v>
      </c>
      <c r="L37" s="106"/>
    </row>
    <row r="38" spans="1:12" s="105" customFormat="1" ht="16.5" customHeight="1" x14ac:dyDescent="0.45">
      <c r="A38" s="116"/>
      <c r="B38" s="113"/>
      <c r="C38" s="107"/>
      <c r="D38" s="107"/>
      <c r="E38" s="114"/>
      <c r="F38" s="114"/>
      <c r="G38" s="114"/>
      <c r="H38" s="114"/>
      <c r="I38" s="114"/>
      <c r="J38" s="115" t="s">
        <v>84</v>
      </c>
      <c r="K38" s="115"/>
      <c r="L38" s="107"/>
    </row>
    <row r="39" spans="1:12" s="24" customFormat="1" x14ac:dyDescent="0.45">
      <c r="A39" s="192" t="s">
        <v>290</v>
      </c>
      <c r="B39" s="192"/>
      <c r="C39" s="192"/>
      <c r="D39" s="192"/>
      <c r="E39" s="100">
        <f>SUM(E20,E27,E31,E35)</f>
        <v>0</v>
      </c>
      <c r="F39" s="100">
        <f t="shared" ref="F39:I39" si="0">SUM(F20,F27,F31,F35)</f>
        <v>0</v>
      </c>
      <c r="G39" s="100">
        <f t="shared" si="0"/>
        <v>0</v>
      </c>
      <c r="H39" s="101">
        <f t="shared" si="0"/>
        <v>2650000</v>
      </c>
      <c r="I39" s="102">
        <f t="shared" si="0"/>
        <v>1100000</v>
      </c>
      <c r="J39" s="205"/>
      <c r="K39" s="205"/>
      <c r="L39" s="205"/>
    </row>
    <row r="40" spans="1:12" s="24" customFormat="1" x14ac:dyDescent="0.45">
      <c r="A40" s="178"/>
      <c r="B40" s="178"/>
      <c r="C40" s="178"/>
      <c r="D40" s="178"/>
      <c r="E40" s="49"/>
      <c r="F40" s="49"/>
      <c r="G40" s="49"/>
      <c r="H40" s="185"/>
      <c r="I40" s="49"/>
      <c r="J40" s="47"/>
      <c r="K40" s="47"/>
      <c r="L40" s="47"/>
    </row>
    <row r="41" spans="1:12" s="24" customFormat="1" x14ac:dyDescent="0.45">
      <c r="A41" s="178"/>
      <c r="B41" s="178"/>
      <c r="C41" s="178"/>
      <c r="D41" s="178"/>
      <c r="E41" s="49"/>
      <c r="F41" s="49"/>
      <c r="G41" s="49"/>
      <c r="H41" s="185"/>
      <c r="I41" s="49"/>
      <c r="J41" s="47"/>
      <c r="K41" s="47"/>
      <c r="L41" s="47"/>
    </row>
    <row r="42" spans="1:12" s="24" customFormat="1" x14ac:dyDescent="0.45">
      <c r="A42" s="178"/>
      <c r="B42" s="178"/>
      <c r="C42" s="178"/>
      <c r="D42" s="178"/>
      <c r="E42" s="49"/>
      <c r="F42" s="49"/>
      <c r="G42" s="49"/>
      <c r="H42" s="185"/>
      <c r="I42" s="49"/>
      <c r="J42" s="47"/>
      <c r="K42" s="47"/>
      <c r="L42" s="47"/>
    </row>
    <row r="43" spans="1:12" s="24" customFormat="1" x14ac:dyDescent="0.45">
      <c r="A43" s="178"/>
      <c r="B43" s="178"/>
      <c r="C43" s="178"/>
      <c r="D43" s="178"/>
      <c r="E43" s="49"/>
      <c r="F43" s="49"/>
      <c r="G43" s="49"/>
      <c r="H43" s="185"/>
      <c r="I43" s="49"/>
      <c r="J43" s="47"/>
      <c r="K43" s="47"/>
      <c r="L43" s="47"/>
    </row>
    <row r="44" spans="1:12" s="24" customFormat="1" x14ac:dyDescent="0.45">
      <c r="A44" s="178"/>
      <c r="B44" s="178"/>
      <c r="C44" s="178"/>
      <c r="D44" s="178"/>
      <c r="E44" s="49"/>
      <c r="F44" s="49"/>
      <c r="G44" s="49"/>
      <c r="H44" s="185"/>
      <c r="I44" s="49"/>
      <c r="J44" s="47"/>
      <c r="K44" s="47"/>
      <c r="L44" s="47"/>
    </row>
    <row r="45" spans="1:12" s="24" customFormat="1" x14ac:dyDescent="0.45">
      <c r="A45" s="178"/>
      <c r="B45" s="178"/>
      <c r="C45" s="178"/>
      <c r="D45" s="178"/>
      <c r="E45" s="49"/>
      <c r="F45" s="49"/>
      <c r="G45" s="49"/>
      <c r="H45" s="185"/>
      <c r="I45" s="49"/>
      <c r="J45" s="47"/>
      <c r="K45" s="47"/>
      <c r="L45" s="47"/>
    </row>
    <row r="46" spans="1:12" s="24" customFormat="1" x14ac:dyDescent="0.45">
      <c r="A46" s="178"/>
      <c r="B46" s="178"/>
      <c r="C46" s="178"/>
      <c r="D46" s="178"/>
      <c r="E46" s="49"/>
      <c r="F46" s="49"/>
      <c r="G46" s="49"/>
      <c r="H46" s="185"/>
      <c r="I46" s="49"/>
      <c r="J46" s="47"/>
      <c r="K46" s="47"/>
      <c r="L46" s="47"/>
    </row>
    <row r="47" spans="1:12" s="24" customFormat="1" ht="19.5" customHeight="1" x14ac:dyDescent="0.45">
      <c r="A47" s="213" t="s">
        <v>0</v>
      </c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</row>
    <row r="48" spans="1:12" s="24" customFormat="1" ht="19.5" customHeight="1" x14ac:dyDescent="0.45">
      <c r="A48" s="200" t="s">
        <v>252</v>
      </c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</row>
    <row r="49" spans="1:13" s="24" customFormat="1" ht="19.5" customHeight="1" x14ac:dyDescent="0.45">
      <c r="A49" s="213" t="s">
        <v>19</v>
      </c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</row>
    <row r="50" spans="1:13" s="26" customFormat="1" ht="19.5" customHeight="1" x14ac:dyDescent="0.45">
      <c r="A50" s="197" t="s">
        <v>1</v>
      </c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</row>
    <row r="51" spans="1:13" s="26" customFormat="1" ht="19.5" customHeight="1" x14ac:dyDescent="0.45">
      <c r="A51" s="197" t="s">
        <v>2</v>
      </c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</row>
    <row r="52" spans="1:13" s="26" customFormat="1" ht="19.5" customHeight="1" x14ac:dyDescent="0.45">
      <c r="A52" s="27"/>
      <c r="B52" s="199" t="s">
        <v>3</v>
      </c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</row>
    <row r="53" spans="1:13" s="26" customFormat="1" ht="19.5" customHeight="1" x14ac:dyDescent="0.45">
      <c r="A53" s="27"/>
      <c r="B53" s="199" t="s">
        <v>4</v>
      </c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</row>
    <row r="54" spans="1:13" s="24" customFormat="1" ht="19.5" customHeight="1" x14ac:dyDescent="0.45">
      <c r="A54" s="197" t="s">
        <v>5</v>
      </c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</row>
    <row r="55" spans="1:13" s="24" customFormat="1" ht="19.5" customHeight="1" x14ac:dyDescent="0.45">
      <c r="A55" s="197" t="s">
        <v>6</v>
      </c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</row>
    <row r="56" spans="1:13" s="26" customFormat="1" ht="19.5" customHeight="1" x14ac:dyDescent="0.45">
      <c r="A56" s="197" t="s">
        <v>7</v>
      </c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</row>
    <row r="57" spans="1:13" s="24" customFormat="1" ht="19.5" customHeight="1" x14ac:dyDescent="0.45">
      <c r="A57" s="197" t="s">
        <v>20</v>
      </c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</row>
    <row r="58" spans="1:13" s="24" customFormat="1" ht="19.5" customHeight="1" x14ac:dyDescent="0.45">
      <c r="A58" s="197" t="s">
        <v>27</v>
      </c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</row>
    <row r="59" spans="1:13" s="24" customFormat="1" ht="19.5" customHeight="1" x14ac:dyDescent="0.45">
      <c r="A59" s="197" t="s">
        <v>28</v>
      </c>
      <c r="B59" s="197"/>
      <c r="C59" s="197"/>
      <c r="D59" s="197"/>
      <c r="E59" s="197"/>
      <c r="F59" s="197"/>
      <c r="G59" s="197"/>
      <c r="H59" s="25"/>
      <c r="I59" s="25"/>
      <c r="J59" s="25"/>
      <c r="K59" s="25"/>
      <c r="L59" s="25"/>
    </row>
    <row r="60" spans="1:13" s="24" customFormat="1" ht="19.5" customHeight="1" x14ac:dyDescent="0.45">
      <c r="A60" s="197" t="s">
        <v>29</v>
      </c>
      <c r="B60" s="197"/>
      <c r="C60" s="197"/>
      <c r="D60" s="197"/>
      <c r="E60" s="197"/>
      <c r="F60" s="197"/>
      <c r="G60" s="197"/>
      <c r="H60" s="25"/>
      <c r="I60" s="25"/>
      <c r="J60" s="25"/>
      <c r="K60" s="25"/>
      <c r="L60" s="25"/>
    </row>
    <row r="61" spans="1:13" s="2" customFormat="1" ht="19.5" customHeight="1" x14ac:dyDescent="0.2">
      <c r="A61" s="212" t="s">
        <v>21</v>
      </c>
      <c r="B61" s="212"/>
      <c r="C61" s="212"/>
      <c r="D61" s="212"/>
      <c r="E61" s="212"/>
      <c r="F61" s="28"/>
      <c r="G61" s="28"/>
      <c r="H61" s="28"/>
      <c r="I61" s="28"/>
      <c r="J61" s="28"/>
      <c r="K61" s="28"/>
      <c r="L61" s="28"/>
    </row>
    <row r="62" spans="1:13" s="2" customFormat="1" ht="28.5" customHeight="1" x14ac:dyDescent="0.2">
      <c r="A62" s="29"/>
      <c r="B62" s="28" t="s">
        <v>272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spans="1:13" s="24" customFormat="1" ht="22.5" customHeight="1" x14ac:dyDescent="0.45">
      <c r="A63" s="206" t="s">
        <v>9</v>
      </c>
      <c r="B63" s="206" t="s">
        <v>10</v>
      </c>
      <c r="C63" s="206" t="s">
        <v>11</v>
      </c>
      <c r="D63" s="31" t="s">
        <v>22</v>
      </c>
      <c r="E63" s="209" t="s">
        <v>12</v>
      </c>
      <c r="F63" s="210"/>
      <c r="G63" s="210"/>
      <c r="H63" s="210"/>
      <c r="I63" s="211"/>
      <c r="J63" s="201" t="s">
        <v>13</v>
      </c>
      <c r="K63" s="201" t="s">
        <v>14</v>
      </c>
      <c r="L63" s="201" t="s">
        <v>15</v>
      </c>
    </row>
    <row r="64" spans="1:13" s="24" customFormat="1" ht="22.5" customHeight="1" x14ac:dyDescent="0.45">
      <c r="A64" s="207"/>
      <c r="B64" s="207"/>
      <c r="C64" s="207"/>
      <c r="D64" s="33" t="s">
        <v>23</v>
      </c>
      <c r="E64" s="32">
        <v>2566</v>
      </c>
      <c r="F64" s="30">
        <v>2567</v>
      </c>
      <c r="G64" s="32">
        <v>2568</v>
      </c>
      <c r="H64" s="30">
        <v>2569</v>
      </c>
      <c r="I64" s="32">
        <v>2570</v>
      </c>
      <c r="J64" s="202"/>
      <c r="K64" s="202"/>
      <c r="L64" s="202"/>
    </row>
    <row r="65" spans="1:12" s="24" customFormat="1" ht="22.5" customHeight="1" x14ac:dyDescent="0.45">
      <c r="A65" s="208"/>
      <c r="B65" s="208"/>
      <c r="C65" s="208"/>
      <c r="D65" s="35" t="s">
        <v>10</v>
      </c>
      <c r="E65" s="30" t="s">
        <v>16</v>
      </c>
      <c r="F65" s="30" t="s">
        <v>16</v>
      </c>
      <c r="G65" s="30" t="s">
        <v>16</v>
      </c>
      <c r="H65" s="30" t="s">
        <v>16</v>
      </c>
      <c r="I65" s="30" t="s">
        <v>16</v>
      </c>
      <c r="J65" s="203"/>
      <c r="K65" s="203"/>
      <c r="L65" s="203"/>
    </row>
    <row r="66" spans="1:12" ht="22.5" customHeight="1" x14ac:dyDescent="0.45">
      <c r="A66" s="21">
        <v>1</v>
      </c>
      <c r="B66" s="131" t="s">
        <v>191</v>
      </c>
      <c r="C66" s="39" t="s">
        <v>75</v>
      </c>
      <c r="D66" s="5" t="s">
        <v>195</v>
      </c>
      <c r="E66" s="40"/>
      <c r="F66" s="40"/>
      <c r="G66" s="40"/>
      <c r="H66" s="40">
        <v>200000</v>
      </c>
      <c r="I66" s="40"/>
      <c r="J66" s="39" t="s">
        <v>17</v>
      </c>
      <c r="K66" s="39" t="s">
        <v>99</v>
      </c>
      <c r="L66" s="39" t="s">
        <v>61</v>
      </c>
    </row>
    <row r="67" spans="1:12" ht="22.5" customHeight="1" x14ac:dyDescent="0.45">
      <c r="A67" s="21"/>
      <c r="B67" s="132" t="s">
        <v>193</v>
      </c>
      <c r="C67" s="39" t="s">
        <v>100</v>
      </c>
      <c r="D67" s="5" t="s">
        <v>196</v>
      </c>
      <c r="E67" s="40"/>
      <c r="F67" s="40"/>
      <c r="G67" s="40"/>
      <c r="H67" s="40"/>
      <c r="I67" s="40"/>
      <c r="J67" s="39" t="s">
        <v>18</v>
      </c>
      <c r="K67" s="39" t="s">
        <v>101</v>
      </c>
      <c r="L67" s="39"/>
    </row>
    <row r="68" spans="1:12" ht="22.5" customHeight="1" x14ac:dyDescent="0.45">
      <c r="A68" s="21"/>
      <c r="B68" s="132" t="s">
        <v>192</v>
      </c>
      <c r="C68" s="39" t="s">
        <v>102</v>
      </c>
      <c r="D68" s="5"/>
      <c r="E68" s="40"/>
      <c r="F68" s="40"/>
      <c r="G68" s="40"/>
      <c r="H68" s="40"/>
      <c r="I68" s="40"/>
      <c r="J68" s="39" t="s">
        <v>103</v>
      </c>
      <c r="K68" s="39" t="s">
        <v>104</v>
      </c>
      <c r="L68" s="39"/>
    </row>
    <row r="69" spans="1:12" ht="22.5" customHeight="1" x14ac:dyDescent="0.45">
      <c r="A69" s="22"/>
      <c r="B69" s="23"/>
      <c r="C69" s="41"/>
      <c r="D69" s="41"/>
      <c r="E69" s="42"/>
      <c r="F69" s="42"/>
      <c r="G69" s="42"/>
      <c r="H69" s="42"/>
      <c r="I69" s="42"/>
      <c r="J69" s="41" t="s">
        <v>102</v>
      </c>
      <c r="K69" s="41"/>
      <c r="L69" s="41"/>
    </row>
    <row r="70" spans="1:12" s="24" customFormat="1" ht="22.5" customHeight="1" x14ac:dyDescent="0.45">
      <c r="A70" s="206" t="s">
        <v>9</v>
      </c>
      <c r="B70" s="206" t="s">
        <v>10</v>
      </c>
      <c r="C70" s="206" t="s">
        <v>11</v>
      </c>
      <c r="D70" s="31" t="s">
        <v>22</v>
      </c>
      <c r="E70" s="209" t="s">
        <v>12</v>
      </c>
      <c r="F70" s="210"/>
      <c r="G70" s="210"/>
      <c r="H70" s="210"/>
      <c r="I70" s="211"/>
      <c r="J70" s="201" t="s">
        <v>13</v>
      </c>
      <c r="K70" s="201" t="s">
        <v>14</v>
      </c>
      <c r="L70" s="201" t="s">
        <v>15</v>
      </c>
    </row>
    <row r="71" spans="1:12" s="24" customFormat="1" ht="22.5" customHeight="1" x14ac:dyDescent="0.45">
      <c r="A71" s="207"/>
      <c r="B71" s="207"/>
      <c r="C71" s="207"/>
      <c r="D71" s="33" t="s">
        <v>23</v>
      </c>
      <c r="E71" s="32">
        <v>2566</v>
      </c>
      <c r="F71" s="30">
        <v>2567</v>
      </c>
      <c r="G71" s="32">
        <v>2568</v>
      </c>
      <c r="H71" s="30">
        <v>2569</v>
      </c>
      <c r="I71" s="32">
        <v>2570</v>
      </c>
      <c r="J71" s="202"/>
      <c r="K71" s="202"/>
      <c r="L71" s="202"/>
    </row>
    <row r="72" spans="1:12" s="24" customFormat="1" ht="22.5" customHeight="1" x14ac:dyDescent="0.45">
      <c r="A72" s="208"/>
      <c r="B72" s="208"/>
      <c r="C72" s="208"/>
      <c r="D72" s="35" t="s">
        <v>10</v>
      </c>
      <c r="E72" s="30" t="s">
        <v>16</v>
      </c>
      <c r="F72" s="30" t="s">
        <v>16</v>
      </c>
      <c r="G72" s="30" t="s">
        <v>16</v>
      </c>
      <c r="H72" s="30" t="s">
        <v>16</v>
      </c>
      <c r="I72" s="30" t="s">
        <v>16</v>
      </c>
      <c r="J72" s="203"/>
      <c r="K72" s="203"/>
      <c r="L72" s="203"/>
    </row>
    <row r="73" spans="1:12" ht="22.5" customHeight="1" x14ac:dyDescent="0.45">
      <c r="A73" s="43">
        <v>2</v>
      </c>
      <c r="B73" s="131" t="s">
        <v>197</v>
      </c>
      <c r="C73" s="36" t="s">
        <v>75</v>
      </c>
      <c r="D73" s="5" t="s">
        <v>199</v>
      </c>
      <c r="E73" s="38"/>
      <c r="F73" s="38"/>
      <c r="G73" s="38"/>
      <c r="H73" s="38">
        <v>200000</v>
      </c>
      <c r="I73" s="38"/>
      <c r="J73" s="36" t="s">
        <v>17</v>
      </c>
      <c r="K73" s="36" t="s">
        <v>99</v>
      </c>
      <c r="L73" s="36" t="s">
        <v>61</v>
      </c>
    </row>
    <row r="74" spans="1:12" ht="22.5" customHeight="1" x14ac:dyDescent="0.45">
      <c r="A74" s="21"/>
      <c r="B74" s="132" t="s">
        <v>198</v>
      </c>
      <c r="C74" s="39" t="s">
        <v>100</v>
      </c>
      <c r="D74" s="39" t="s">
        <v>200</v>
      </c>
      <c r="E74" s="40"/>
      <c r="F74" s="40"/>
      <c r="G74" s="40"/>
      <c r="H74" s="40"/>
      <c r="I74" s="40"/>
      <c r="J74" s="39" t="s">
        <v>18</v>
      </c>
      <c r="K74" s="39" t="s">
        <v>101</v>
      </c>
      <c r="L74" s="39"/>
    </row>
    <row r="75" spans="1:12" ht="22.5" customHeight="1" x14ac:dyDescent="0.45">
      <c r="A75" s="21"/>
      <c r="B75" s="132"/>
      <c r="C75" s="39" t="s">
        <v>102</v>
      </c>
      <c r="E75" s="40"/>
      <c r="F75" s="40"/>
      <c r="G75" s="40"/>
      <c r="H75" s="40"/>
      <c r="I75" s="40"/>
      <c r="J75" s="39" t="s">
        <v>103</v>
      </c>
      <c r="K75" s="39" t="s">
        <v>104</v>
      </c>
      <c r="L75" s="39"/>
    </row>
    <row r="76" spans="1:12" ht="22.5" customHeight="1" x14ac:dyDescent="0.45">
      <c r="A76" s="21"/>
      <c r="B76" s="7"/>
      <c r="C76" s="39"/>
      <c r="E76" s="40"/>
      <c r="F76" s="40"/>
      <c r="G76" s="40"/>
      <c r="H76" s="40"/>
      <c r="I76" s="40"/>
      <c r="J76" s="39" t="s">
        <v>102</v>
      </c>
      <c r="K76" s="39"/>
      <c r="L76" s="39"/>
    </row>
    <row r="77" spans="1:12" s="24" customFormat="1" x14ac:dyDescent="0.45">
      <c r="A77" s="192" t="s">
        <v>24</v>
      </c>
      <c r="B77" s="192"/>
      <c r="C77" s="192"/>
      <c r="D77" s="192"/>
      <c r="E77" s="100">
        <f>SUM(E66,E73)</f>
        <v>0</v>
      </c>
      <c r="F77" s="100">
        <f t="shared" ref="F77:I77" si="1">SUM(F66,F73)</f>
        <v>0</v>
      </c>
      <c r="G77" s="100">
        <f t="shared" si="1"/>
        <v>0</v>
      </c>
      <c r="H77" s="100">
        <f>SUM(H66,H73)</f>
        <v>400000</v>
      </c>
      <c r="I77" s="100">
        <f t="shared" si="1"/>
        <v>0</v>
      </c>
      <c r="J77" s="205"/>
      <c r="K77" s="205"/>
      <c r="L77" s="205"/>
    </row>
  </sheetData>
  <mergeCells count="62">
    <mergeCell ref="K70:K72"/>
    <mergeCell ref="L70:L72"/>
    <mergeCell ref="A70:A72"/>
    <mergeCell ref="B70:B72"/>
    <mergeCell ref="C70:C72"/>
    <mergeCell ref="E70:I70"/>
    <mergeCell ref="J70:J72"/>
    <mergeCell ref="A12:L12"/>
    <mergeCell ref="A1:L1"/>
    <mergeCell ref="A2:L2"/>
    <mergeCell ref="A3:L3"/>
    <mergeCell ref="A4:L4"/>
    <mergeCell ref="A5:L5"/>
    <mergeCell ref="B6:M6"/>
    <mergeCell ref="B7:M7"/>
    <mergeCell ref="A8:L8"/>
    <mergeCell ref="A9:L9"/>
    <mergeCell ref="A10:L10"/>
    <mergeCell ref="A11:L11"/>
    <mergeCell ref="J17:J19"/>
    <mergeCell ref="K17:K19"/>
    <mergeCell ref="L17:L19"/>
    <mergeCell ref="A13:G13"/>
    <mergeCell ref="A14:G14"/>
    <mergeCell ref="A15:E15"/>
    <mergeCell ref="A17:A19"/>
    <mergeCell ref="B17:B19"/>
    <mergeCell ref="C17:C19"/>
    <mergeCell ref="E17:I17"/>
    <mergeCell ref="A56:L56"/>
    <mergeCell ref="A39:D39"/>
    <mergeCell ref="J39:L39"/>
    <mergeCell ref="A47:L47"/>
    <mergeCell ref="A48:L48"/>
    <mergeCell ref="A49:L49"/>
    <mergeCell ref="A50:L50"/>
    <mergeCell ref="A51:L51"/>
    <mergeCell ref="B52:M52"/>
    <mergeCell ref="B53:M53"/>
    <mergeCell ref="A54:L54"/>
    <mergeCell ref="A55:L55"/>
    <mergeCell ref="A63:A65"/>
    <mergeCell ref="B63:B65"/>
    <mergeCell ref="C63:C65"/>
    <mergeCell ref="E63:I63"/>
    <mergeCell ref="J63:J65"/>
    <mergeCell ref="L24:L26"/>
    <mergeCell ref="K63:K65"/>
    <mergeCell ref="L63:L65"/>
    <mergeCell ref="A77:D77"/>
    <mergeCell ref="J77:L77"/>
    <mergeCell ref="A24:A26"/>
    <mergeCell ref="B24:B26"/>
    <mergeCell ref="C24:C26"/>
    <mergeCell ref="E24:I24"/>
    <mergeCell ref="J24:J26"/>
    <mergeCell ref="K24:K26"/>
    <mergeCell ref="A57:L57"/>
    <mergeCell ref="A58:L58"/>
    <mergeCell ref="A59:G59"/>
    <mergeCell ref="A60:G60"/>
    <mergeCell ref="A61:E61"/>
  </mergeCells>
  <pageMargins left="0.25" right="0.25" top="0.75" bottom="0.75" header="0.3" footer="0.3"/>
  <pageSetup paperSize="9" orientation="landscape" horizontalDpi="4294967293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08D5-7DDD-4651-B1AF-80D5B7502269}">
  <dimension ref="A1:M77"/>
  <sheetViews>
    <sheetView view="pageLayout" topLeftCell="A28" zoomScaleNormal="100" workbookViewId="0">
      <selection activeCell="H28" sqref="H28"/>
    </sheetView>
  </sheetViews>
  <sheetFormatPr defaultColWidth="8.625" defaultRowHeight="21" x14ac:dyDescent="0.45"/>
  <cols>
    <col min="1" max="1" width="4.125" style="3" customWidth="1"/>
    <col min="2" max="2" width="30.25" style="4" customWidth="1"/>
    <col min="3" max="3" width="15.5" style="4" customWidth="1"/>
    <col min="4" max="4" width="13.75" style="4" customWidth="1"/>
    <col min="5" max="6" width="5.875" style="4" customWidth="1"/>
    <col min="7" max="7" width="7.375" style="4" customWidth="1"/>
    <col min="8" max="9" width="6.875" style="4" customWidth="1"/>
    <col min="10" max="10" width="11.75" style="4" customWidth="1"/>
    <col min="11" max="11" width="15.875" style="4" customWidth="1"/>
    <col min="12" max="12" width="7.875" style="4" customWidth="1"/>
    <col min="13" max="16384" width="8.625" style="4"/>
  </cols>
  <sheetData>
    <row r="1" spans="1:13" s="24" customFormat="1" x14ac:dyDescent="0.45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</row>
    <row r="2" spans="1:13" s="24" customFormat="1" x14ac:dyDescent="0.45">
      <c r="A2" s="200" t="s">
        <v>252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</row>
    <row r="3" spans="1:13" s="24" customFormat="1" x14ac:dyDescent="0.45">
      <c r="A3" s="213" t="s">
        <v>19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</row>
    <row r="4" spans="1:13" s="26" customFormat="1" x14ac:dyDescent="0.45">
      <c r="A4" s="197" t="s">
        <v>1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</row>
    <row r="5" spans="1:13" s="26" customFormat="1" x14ac:dyDescent="0.45">
      <c r="A5" s="197" t="s">
        <v>2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</row>
    <row r="6" spans="1:13" s="26" customFormat="1" x14ac:dyDescent="0.45">
      <c r="A6" s="27"/>
      <c r="B6" s="199" t="s">
        <v>3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</row>
    <row r="7" spans="1:13" s="26" customFormat="1" x14ac:dyDescent="0.45">
      <c r="A7" s="27"/>
      <c r="B7" s="199" t="s">
        <v>4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</row>
    <row r="8" spans="1:13" s="24" customFormat="1" x14ac:dyDescent="0.45">
      <c r="A8" s="197" t="s">
        <v>5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</row>
    <row r="9" spans="1:13" s="24" customFormat="1" x14ac:dyDescent="0.45">
      <c r="A9" s="197" t="s">
        <v>6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</row>
    <row r="10" spans="1:13" s="26" customFormat="1" x14ac:dyDescent="0.45">
      <c r="A10" s="197" t="s">
        <v>7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</row>
    <row r="11" spans="1:13" s="24" customFormat="1" x14ac:dyDescent="0.45">
      <c r="A11" s="197" t="s">
        <v>20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</row>
    <row r="12" spans="1:13" s="24" customFormat="1" x14ac:dyDescent="0.45">
      <c r="A12" s="197" t="s">
        <v>27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</row>
    <row r="13" spans="1:13" s="24" customFormat="1" x14ac:dyDescent="0.45">
      <c r="A13" s="197" t="s">
        <v>28</v>
      </c>
      <c r="B13" s="197"/>
      <c r="C13" s="197"/>
      <c r="D13" s="197"/>
      <c r="E13" s="197"/>
      <c r="F13" s="197"/>
      <c r="G13" s="197"/>
      <c r="H13" s="25"/>
      <c r="I13" s="25"/>
      <c r="J13" s="25"/>
      <c r="K13" s="25"/>
      <c r="L13" s="25"/>
    </row>
    <row r="14" spans="1:13" s="24" customFormat="1" x14ac:dyDescent="0.45">
      <c r="A14" s="197" t="s">
        <v>29</v>
      </c>
      <c r="B14" s="197"/>
      <c r="C14" s="197"/>
      <c r="D14" s="197"/>
      <c r="E14" s="197"/>
      <c r="F14" s="197"/>
      <c r="G14" s="197"/>
      <c r="H14" s="25"/>
      <c r="I14" s="25"/>
      <c r="J14" s="25"/>
      <c r="K14" s="25"/>
      <c r="L14" s="25"/>
    </row>
    <row r="15" spans="1:13" s="2" customFormat="1" ht="21" customHeight="1" x14ac:dyDescent="0.2">
      <c r="A15" s="212" t="s">
        <v>8</v>
      </c>
      <c r="B15" s="212"/>
      <c r="C15" s="212"/>
      <c r="D15" s="212"/>
      <c r="E15" s="212"/>
      <c r="F15" s="28"/>
      <c r="G15" s="28"/>
      <c r="H15" s="28"/>
      <c r="I15" s="28"/>
      <c r="J15" s="28"/>
      <c r="K15" s="28"/>
      <c r="L15" s="28"/>
    </row>
    <row r="16" spans="1:13" s="2" customFormat="1" ht="21" customHeight="1" x14ac:dyDescent="0.2">
      <c r="A16" s="29"/>
      <c r="B16" s="28" t="s">
        <v>26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 s="24" customFormat="1" ht="20.45" customHeight="1" x14ac:dyDescent="0.45">
      <c r="A17" s="198" t="s">
        <v>9</v>
      </c>
      <c r="B17" s="198" t="s">
        <v>10</v>
      </c>
      <c r="C17" s="198" t="s">
        <v>11</v>
      </c>
      <c r="D17" s="31" t="s">
        <v>22</v>
      </c>
      <c r="E17" s="198" t="s">
        <v>12</v>
      </c>
      <c r="F17" s="198"/>
      <c r="G17" s="198"/>
      <c r="H17" s="198"/>
      <c r="I17" s="198"/>
      <c r="J17" s="196" t="s">
        <v>13</v>
      </c>
      <c r="K17" s="196" t="s">
        <v>14</v>
      </c>
      <c r="L17" s="196" t="s">
        <v>15</v>
      </c>
    </row>
    <row r="18" spans="1:12" s="24" customFormat="1" x14ac:dyDescent="0.45">
      <c r="A18" s="198"/>
      <c r="B18" s="198"/>
      <c r="C18" s="198"/>
      <c r="D18" s="33" t="s">
        <v>23</v>
      </c>
      <c r="E18" s="32">
        <v>2566</v>
      </c>
      <c r="F18" s="30">
        <v>2567</v>
      </c>
      <c r="G18" s="32">
        <v>2568</v>
      </c>
      <c r="H18" s="30">
        <v>2569</v>
      </c>
      <c r="I18" s="32">
        <v>2570</v>
      </c>
      <c r="J18" s="196"/>
      <c r="K18" s="196"/>
      <c r="L18" s="196"/>
    </row>
    <row r="19" spans="1:12" s="24" customFormat="1" x14ac:dyDescent="0.45">
      <c r="A19" s="206"/>
      <c r="B19" s="206"/>
      <c r="C19" s="198"/>
      <c r="D19" s="33" t="s">
        <v>10</v>
      </c>
      <c r="E19" s="30" t="s">
        <v>16</v>
      </c>
      <c r="F19" s="30" t="s">
        <v>16</v>
      </c>
      <c r="G19" s="30" t="s">
        <v>16</v>
      </c>
      <c r="H19" s="30" t="s">
        <v>16</v>
      </c>
      <c r="I19" s="30" t="s">
        <v>16</v>
      </c>
      <c r="J19" s="196"/>
      <c r="K19" s="196"/>
      <c r="L19" s="196"/>
    </row>
    <row r="20" spans="1:12" s="24" customFormat="1" x14ac:dyDescent="0.45">
      <c r="A20" s="18">
        <v>1</v>
      </c>
      <c r="B20" s="19" t="s">
        <v>92</v>
      </c>
      <c r="C20" s="54" t="s">
        <v>75</v>
      </c>
      <c r="D20" s="37" t="s">
        <v>202</v>
      </c>
      <c r="E20" s="38"/>
      <c r="F20" s="38"/>
      <c r="G20" s="38"/>
      <c r="H20" s="38">
        <v>100000</v>
      </c>
      <c r="I20" s="38"/>
      <c r="J20" s="37" t="s">
        <v>17</v>
      </c>
      <c r="K20" s="54" t="s">
        <v>78</v>
      </c>
      <c r="L20" s="36" t="s">
        <v>61</v>
      </c>
    </row>
    <row r="21" spans="1:12" s="2" customFormat="1" x14ac:dyDescent="0.2">
      <c r="A21" s="124"/>
      <c r="B21" s="123" t="s">
        <v>201</v>
      </c>
      <c r="C21" s="50" t="s">
        <v>76</v>
      </c>
      <c r="D21" s="50" t="s">
        <v>203</v>
      </c>
      <c r="E21" s="125"/>
      <c r="F21" s="125"/>
      <c r="G21" s="125"/>
      <c r="H21" s="125"/>
      <c r="I21" s="125"/>
      <c r="J21" s="50" t="s">
        <v>71</v>
      </c>
      <c r="K21" s="50" t="s">
        <v>79</v>
      </c>
      <c r="L21" s="126"/>
    </row>
    <row r="22" spans="1:12" s="24" customFormat="1" x14ac:dyDescent="0.45">
      <c r="A22" s="11"/>
      <c r="B22" s="6" t="s">
        <v>94</v>
      </c>
      <c r="C22" s="5" t="s">
        <v>77</v>
      </c>
      <c r="D22" s="5" t="s">
        <v>114</v>
      </c>
      <c r="E22" s="40"/>
      <c r="F22" s="40"/>
      <c r="G22" s="40"/>
      <c r="H22" s="40"/>
      <c r="I22" s="40"/>
      <c r="J22" s="5"/>
      <c r="K22" s="5" t="s">
        <v>80</v>
      </c>
      <c r="L22" s="39"/>
    </row>
    <row r="23" spans="1:12" s="24" customFormat="1" x14ac:dyDescent="0.45">
      <c r="A23" s="12"/>
      <c r="B23" s="8"/>
      <c r="C23" s="41"/>
      <c r="D23" s="41"/>
      <c r="E23" s="42"/>
      <c r="F23" s="42"/>
      <c r="G23" s="42"/>
      <c r="H23" s="42"/>
      <c r="I23" s="42"/>
      <c r="J23" s="9"/>
      <c r="K23" s="9"/>
      <c r="L23" s="41"/>
    </row>
    <row r="24" spans="1:12" s="24" customFormat="1" ht="11.25" customHeight="1" x14ac:dyDescent="0.45">
      <c r="A24" s="3"/>
      <c r="B24" s="20"/>
      <c r="C24" s="48"/>
      <c r="D24" s="48"/>
      <c r="E24" s="49"/>
      <c r="F24" s="49"/>
      <c r="G24" s="49"/>
      <c r="H24" s="49"/>
      <c r="I24" s="49"/>
      <c r="J24" s="47"/>
      <c r="K24" s="47"/>
      <c r="L24" s="48"/>
    </row>
    <row r="25" spans="1:12" s="24" customFormat="1" ht="20.45" customHeight="1" x14ac:dyDescent="0.45">
      <c r="A25" s="198" t="s">
        <v>9</v>
      </c>
      <c r="B25" s="198" t="s">
        <v>10</v>
      </c>
      <c r="C25" s="198" t="s">
        <v>11</v>
      </c>
      <c r="D25" s="31" t="s">
        <v>22</v>
      </c>
      <c r="E25" s="198" t="s">
        <v>12</v>
      </c>
      <c r="F25" s="198"/>
      <c r="G25" s="198"/>
      <c r="H25" s="198"/>
      <c r="I25" s="198"/>
      <c r="J25" s="196" t="s">
        <v>13</v>
      </c>
      <c r="K25" s="196" t="s">
        <v>14</v>
      </c>
      <c r="L25" s="196" t="s">
        <v>15</v>
      </c>
    </row>
    <row r="26" spans="1:12" s="24" customFormat="1" x14ac:dyDescent="0.45">
      <c r="A26" s="198"/>
      <c r="B26" s="198"/>
      <c r="C26" s="198"/>
      <c r="D26" s="33" t="s">
        <v>23</v>
      </c>
      <c r="E26" s="32">
        <v>2566</v>
      </c>
      <c r="F26" s="30">
        <v>2567</v>
      </c>
      <c r="G26" s="32">
        <v>2568</v>
      </c>
      <c r="H26" s="30">
        <v>2569</v>
      </c>
      <c r="I26" s="32">
        <v>2570</v>
      </c>
      <c r="J26" s="196"/>
      <c r="K26" s="196"/>
      <c r="L26" s="196"/>
    </row>
    <row r="27" spans="1:12" s="24" customFormat="1" x14ac:dyDescent="0.45">
      <c r="A27" s="198"/>
      <c r="B27" s="198"/>
      <c r="C27" s="198"/>
      <c r="D27" s="35" t="s">
        <v>10</v>
      </c>
      <c r="E27" s="30" t="s">
        <v>16</v>
      </c>
      <c r="F27" s="30" t="s">
        <v>16</v>
      </c>
      <c r="G27" s="30" t="s">
        <v>16</v>
      </c>
      <c r="H27" s="30" t="s">
        <v>16</v>
      </c>
      <c r="I27" s="30" t="s">
        <v>16</v>
      </c>
      <c r="J27" s="196"/>
      <c r="K27" s="196"/>
      <c r="L27" s="196"/>
    </row>
    <row r="28" spans="1:12" s="24" customFormat="1" x14ac:dyDescent="0.45">
      <c r="A28" s="18">
        <v>2</v>
      </c>
      <c r="B28" s="19" t="s">
        <v>92</v>
      </c>
      <c r="C28" s="54" t="s">
        <v>75</v>
      </c>
      <c r="D28" s="37" t="s">
        <v>95</v>
      </c>
      <c r="E28" s="38"/>
      <c r="F28" s="38"/>
      <c r="G28" s="38"/>
      <c r="H28" s="38"/>
      <c r="I28" s="38">
        <v>400000</v>
      </c>
      <c r="J28" s="37" t="s">
        <v>17</v>
      </c>
      <c r="K28" s="54" t="s">
        <v>78</v>
      </c>
      <c r="L28" s="36" t="s">
        <v>61</v>
      </c>
    </row>
    <row r="29" spans="1:12" s="2" customFormat="1" x14ac:dyDescent="0.2">
      <c r="A29" s="124"/>
      <c r="B29" s="123" t="s">
        <v>263</v>
      </c>
      <c r="C29" s="50" t="s">
        <v>76</v>
      </c>
      <c r="D29" s="50" t="s">
        <v>204</v>
      </c>
      <c r="E29" s="125"/>
      <c r="F29" s="125"/>
      <c r="G29" s="125"/>
      <c r="H29" s="125"/>
      <c r="I29" s="125"/>
      <c r="J29" s="50" t="s">
        <v>71</v>
      </c>
      <c r="K29" s="50" t="s">
        <v>79</v>
      </c>
      <c r="L29" s="126"/>
    </row>
    <row r="30" spans="1:12" s="24" customFormat="1" x14ac:dyDescent="0.45">
      <c r="A30" s="11"/>
      <c r="B30" s="6" t="s">
        <v>264</v>
      </c>
      <c r="C30" s="5" t="s">
        <v>77</v>
      </c>
      <c r="D30" s="5" t="s">
        <v>114</v>
      </c>
      <c r="E30" s="40"/>
      <c r="F30" s="40"/>
      <c r="G30" s="40"/>
      <c r="H30" s="40"/>
      <c r="I30" s="40"/>
      <c r="J30" s="5"/>
      <c r="K30" s="5" t="s">
        <v>80</v>
      </c>
      <c r="L30" s="39"/>
    </row>
    <row r="31" spans="1:12" s="24" customFormat="1" x14ac:dyDescent="0.45">
      <c r="A31" s="12"/>
      <c r="B31" s="8"/>
      <c r="C31" s="41"/>
      <c r="D31" s="41"/>
      <c r="E31" s="42"/>
      <c r="F31" s="42"/>
      <c r="G31" s="42"/>
      <c r="H31" s="42"/>
      <c r="I31" s="42"/>
      <c r="J31" s="9"/>
      <c r="K31" s="9"/>
      <c r="L31" s="41"/>
    </row>
    <row r="32" spans="1:12" s="24" customFormat="1" x14ac:dyDescent="0.45">
      <c r="A32" s="18">
        <v>3</v>
      </c>
      <c r="B32" s="19" t="s">
        <v>92</v>
      </c>
      <c r="C32" s="54" t="s">
        <v>75</v>
      </c>
      <c r="D32" s="37" t="s">
        <v>95</v>
      </c>
      <c r="E32" s="38"/>
      <c r="F32" s="38"/>
      <c r="G32" s="38"/>
      <c r="H32" s="38">
        <v>120000</v>
      </c>
      <c r="I32" s="38"/>
      <c r="J32" s="37" t="s">
        <v>17</v>
      </c>
      <c r="K32" s="54" t="s">
        <v>78</v>
      </c>
      <c r="L32" s="36" t="s">
        <v>61</v>
      </c>
    </row>
    <row r="33" spans="1:12" s="2" customFormat="1" x14ac:dyDescent="0.2">
      <c r="A33" s="124"/>
      <c r="B33" s="123" t="s">
        <v>265</v>
      </c>
      <c r="C33" s="50" t="s">
        <v>76</v>
      </c>
      <c r="D33" s="50" t="s">
        <v>205</v>
      </c>
      <c r="E33" s="125"/>
      <c r="F33" s="125"/>
      <c r="G33" s="125"/>
      <c r="H33" s="125"/>
      <c r="I33" s="125"/>
      <c r="J33" s="50" t="s">
        <v>71</v>
      </c>
      <c r="K33" s="50" t="s">
        <v>79</v>
      </c>
      <c r="L33" s="126"/>
    </row>
    <row r="34" spans="1:12" s="24" customFormat="1" x14ac:dyDescent="0.45">
      <c r="A34" s="11"/>
      <c r="B34" s="6" t="s">
        <v>113</v>
      </c>
      <c r="C34" s="5" t="s">
        <v>77</v>
      </c>
      <c r="D34" s="5" t="s">
        <v>114</v>
      </c>
      <c r="E34" s="40"/>
      <c r="F34" s="40"/>
      <c r="G34" s="40"/>
      <c r="H34" s="40"/>
      <c r="I34" s="40"/>
      <c r="J34" s="5"/>
      <c r="K34" s="5" t="s">
        <v>80</v>
      </c>
      <c r="L34" s="39"/>
    </row>
    <row r="35" spans="1:12" s="24" customFormat="1" x14ac:dyDescent="0.45">
      <c r="A35" s="12"/>
      <c r="B35" s="6"/>
      <c r="C35" s="41"/>
      <c r="D35" s="41"/>
      <c r="E35" s="42"/>
      <c r="F35" s="42"/>
      <c r="G35" s="42"/>
      <c r="H35" s="42"/>
      <c r="I35" s="42"/>
      <c r="J35" s="9"/>
      <c r="K35" s="9"/>
      <c r="L35" s="41"/>
    </row>
    <row r="36" spans="1:12" s="24" customFormat="1" x14ac:dyDescent="0.45">
      <c r="A36" s="18">
        <v>4</v>
      </c>
      <c r="B36" s="19" t="s">
        <v>266</v>
      </c>
      <c r="C36" s="44" t="s">
        <v>69</v>
      </c>
      <c r="D36" s="160" t="s">
        <v>206</v>
      </c>
      <c r="E36" s="40"/>
      <c r="F36" s="40"/>
      <c r="G36" s="40"/>
      <c r="H36" s="152">
        <v>1500000</v>
      </c>
      <c r="I36" s="40"/>
      <c r="J36" s="5" t="s">
        <v>17</v>
      </c>
      <c r="K36" s="55" t="s">
        <v>72</v>
      </c>
      <c r="L36" s="39" t="s">
        <v>61</v>
      </c>
    </row>
    <row r="37" spans="1:12" s="24" customFormat="1" x14ac:dyDescent="0.45">
      <c r="A37" s="11"/>
      <c r="B37" s="6" t="s">
        <v>267</v>
      </c>
      <c r="C37" s="44" t="s">
        <v>70</v>
      </c>
      <c r="D37" s="161" t="s">
        <v>207</v>
      </c>
      <c r="E37" s="40"/>
      <c r="F37" s="40"/>
      <c r="G37" s="40"/>
      <c r="H37" s="40"/>
      <c r="I37" s="40"/>
      <c r="J37" s="5" t="s">
        <v>71</v>
      </c>
      <c r="K37" s="55" t="s">
        <v>73</v>
      </c>
      <c r="L37" s="39"/>
    </row>
    <row r="38" spans="1:12" s="24" customFormat="1" x14ac:dyDescent="0.45">
      <c r="A38" s="11"/>
      <c r="B38" s="6" t="s">
        <v>268</v>
      </c>
      <c r="C38" s="44"/>
      <c r="D38" s="161" t="s">
        <v>208</v>
      </c>
      <c r="E38" s="40"/>
      <c r="F38" s="40"/>
      <c r="G38" s="40"/>
      <c r="H38" s="40"/>
      <c r="I38" s="40"/>
      <c r="J38" s="5"/>
      <c r="K38" s="5" t="s">
        <v>74</v>
      </c>
      <c r="L38" s="39"/>
    </row>
    <row r="39" spans="1:12" s="24" customFormat="1" x14ac:dyDescent="0.45">
      <c r="A39" s="11"/>
      <c r="B39" s="6"/>
      <c r="C39" s="44"/>
      <c r="D39" s="161"/>
      <c r="E39" s="40"/>
      <c r="F39" s="40"/>
      <c r="G39" s="40"/>
      <c r="H39" s="40"/>
      <c r="I39" s="40"/>
      <c r="J39" s="5"/>
      <c r="K39" s="55"/>
      <c r="L39" s="39"/>
    </row>
    <row r="40" spans="1:12" s="24" customFormat="1" x14ac:dyDescent="0.45">
      <c r="A40" s="12"/>
      <c r="B40" s="8"/>
      <c r="C40" s="44"/>
      <c r="D40" s="162"/>
      <c r="E40" s="40"/>
      <c r="F40" s="40"/>
      <c r="G40" s="40"/>
      <c r="H40" s="40"/>
      <c r="I40" s="40"/>
      <c r="J40" s="5"/>
      <c r="L40" s="39"/>
    </row>
    <row r="41" spans="1:12" s="96" customFormat="1" x14ac:dyDescent="0.45">
      <c r="A41" s="18">
        <v>5</v>
      </c>
      <c r="B41" s="6" t="s">
        <v>89</v>
      </c>
      <c r="C41" s="118" t="s">
        <v>58</v>
      </c>
      <c r="D41" s="110" t="s">
        <v>87</v>
      </c>
      <c r="E41" s="111"/>
      <c r="F41" s="111"/>
      <c r="G41" s="111"/>
      <c r="H41" s="111">
        <v>200000</v>
      </c>
      <c r="I41" s="111"/>
      <c r="J41" s="103" t="s">
        <v>17</v>
      </c>
      <c r="K41" s="103" t="s">
        <v>60</v>
      </c>
      <c r="L41" s="103" t="s">
        <v>61</v>
      </c>
    </row>
    <row r="42" spans="1:12" s="96" customFormat="1" x14ac:dyDescent="0.45">
      <c r="A42" s="11"/>
      <c r="B42" s="6" t="s">
        <v>209</v>
      </c>
      <c r="C42" s="119" t="s">
        <v>62</v>
      </c>
      <c r="D42" s="104" t="s">
        <v>211</v>
      </c>
      <c r="E42" s="112"/>
      <c r="F42" s="112"/>
      <c r="G42" s="112"/>
      <c r="H42" s="112"/>
      <c r="I42" s="112"/>
      <c r="J42" s="106" t="s">
        <v>63</v>
      </c>
      <c r="K42" s="106" t="s">
        <v>64</v>
      </c>
      <c r="L42" s="106"/>
    </row>
    <row r="43" spans="1:12" s="96" customFormat="1" x14ac:dyDescent="0.45">
      <c r="A43" s="11"/>
      <c r="B43" s="6" t="s">
        <v>210</v>
      </c>
      <c r="C43" s="119" t="s">
        <v>65</v>
      </c>
      <c r="D43" s="104"/>
      <c r="E43" s="112"/>
      <c r="F43" s="112"/>
      <c r="G43" s="112"/>
      <c r="H43" s="112"/>
      <c r="I43" s="112"/>
      <c r="J43" s="106" t="s">
        <v>66</v>
      </c>
      <c r="K43" s="106"/>
      <c r="L43" s="106"/>
    </row>
    <row r="44" spans="1:12" s="96" customFormat="1" x14ac:dyDescent="0.45">
      <c r="A44" s="12"/>
      <c r="B44" s="120"/>
      <c r="C44" s="117"/>
      <c r="D44" s="107"/>
      <c r="E44" s="114"/>
      <c r="F44" s="114"/>
      <c r="G44" s="114"/>
      <c r="H44" s="114"/>
      <c r="I44" s="114"/>
      <c r="J44" s="107" t="s">
        <v>67</v>
      </c>
      <c r="K44" s="107"/>
      <c r="L44" s="107"/>
    </row>
    <row r="45" spans="1:12" s="24" customFormat="1" x14ac:dyDescent="0.45">
      <c r="A45" s="192" t="s">
        <v>31</v>
      </c>
      <c r="B45" s="192"/>
      <c r="C45" s="192"/>
      <c r="D45" s="30"/>
      <c r="E45" s="122">
        <f>SUM(E20,E28,E32,E36,E41)</f>
        <v>0</v>
      </c>
      <c r="F45" s="122">
        <f t="shared" ref="F45:I45" si="0">SUM(F20,F28,F32,F36,F41)</f>
        <v>0</v>
      </c>
      <c r="G45" s="122">
        <f t="shared" si="0"/>
        <v>0</v>
      </c>
      <c r="H45" s="101">
        <f t="shared" si="0"/>
        <v>1920000</v>
      </c>
      <c r="I45" s="122">
        <f t="shared" si="0"/>
        <v>400000</v>
      </c>
      <c r="J45" s="214"/>
      <c r="K45" s="215"/>
      <c r="L45" s="216"/>
    </row>
    <row r="46" spans="1:12" s="24" customFormat="1" x14ac:dyDescent="0.45">
      <c r="A46" s="3"/>
      <c r="B46" s="20"/>
      <c r="C46" s="48"/>
      <c r="D46" s="48"/>
      <c r="E46" s="49"/>
      <c r="F46" s="49"/>
      <c r="G46" s="49"/>
      <c r="H46" s="49"/>
      <c r="I46" s="49"/>
      <c r="J46" s="47"/>
      <c r="K46" s="47"/>
      <c r="L46" s="48"/>
    </row>
    <row r="47" spans="1:12" s="24" customFormat="1" ht="21.75" customHeight="1" x14ac:dyDescent="0.45">
      <c r="A47" s="213" t="s">
        <v>0</v>
      </c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</row>
    <row r="48" spans="1:12" s="24" customFormat="1" ht="21.75" customHeight="1" x14ac:dyDescent="0.45">
      <c r="A48" s="200" t="s">
        <v>252</v>
      </c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</row>
    <row r="49" spans="1:13" s="24" customFormat="1" ht="21.75" customHeight="1" x14ac:dyDescent="0.45">
      <c r="A49" s="213" t="s">
        <v>19</v>
      </c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</row>
    <row r="50" spans="1:13" s="26" customFormat="1" ht="21.75" customHeight="1" x14ac:dyDescent="0.45">
      <c r="A50" s="197" t="s">
        <v>1</v>
      </c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</row>
    <row r="51" spans="1:13" s="26" customFormat="1" ht="21.75" customHeight="1" x14ac:dyDescent="0.45">
      <c r="A51" s="197" t="s">
        <v>2</v>
      </c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</row>
    <row r="52" spans="1:13" s="26" customFormat="1" ht="21.75" customHeight="1" x14ac:dyDescent="0.45">
      <c r="A52" s="27"/>
      <c r="B52" s="199" t="s">
        <v>3</v>
      </c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</row>
    <row r="53" spans="1:13" s="26" customFormat="1" ht="21.75" customHeight="1" x14ac:dyDescent="0.45">
      <c r="A53" s="27"/>
      <c r="B53" s="199" t="s">
        <v>4</v>
      </c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</row>
    <row r="54" spans="1:13" s="24" customFormat="1" ht="21.75" customHeight="1" x14ac:dyDescent="0.45">
      <c r="A54" s="197" t="s">
        <v>5</v>
      </c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</row>
    <row r="55" spans="1:13" s="24" customFormat="1" ht="21.75" customHeight="1" x14ac:dyDescent="0.45">
      <c r="A55" s="197" t="s">
        <v>6</v>
      </c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</row>
    <row r="56" spans="1:13" s="26" customFormat="1" ht="21.75" customHeight="1" x14ac:dyDescent="0.45">
      <c r="A56" s="197" t="s">
        <v>7</v>
      </c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</row>
    <row r="57" spans="1:13" s="24" customFormat="1" ht="21.75" customHeight="1" x14ac:dyDescent="0.45">
      <c r="A57" s="197" t="s">
        <v>20</v>
      </c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</row>
    <row r="58" spans="1:13" s="24" customFormat="1" ht="21.75" customHeight="1" x14ac:dyDescent="0.45">
      <c r="A58" s="197" t="s">
        <v>27</v>
      </c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</row>
    <row r="59" spans="1:13" s="24" customFormat="1" ht="21.75" customHeight="1" x14ac:dyDescent="0.45">
      <c r="A59" s="197" t="s">
        <v>28</v>
      </c>
      <c r="B59" s="197"/>
      <c r="C59" s="197"/>
      <c r="D59" s="197"/>
      <c r="E59" s="197"/>
      <c r="F59" s="197"/>
      <c r="G59" s="197"/>
      <c r="H59" s="25"/>
      <c r="I59" s="25"/>
      <c r="J59" s="25"/>
      <c r="K59" s="25"/>
      <c r="L59" s="25"/>
    </row>
    <row r="60" spans="1:13" s="24" customFormat="1" ht="21.75" customHeight="1" x14ac:dyDescent="0.45">
      <c r="A60" s="197" t="s">
        <v>29</v>
      </c>
      <c r="B60" s="197"/>
      <c r="C60" s="197"/>
      <c r="D60" s="197"/>
      <c r="E60" s="197"/>
      <c r="F60" s="197"/>
      <c r="G60" s="197"/>
      <c r="H60" s="25"/>
      <c r="I60" s="25"/>
      <c r="J60" s="25"/>
      <c r="K60" s="25"/>
      <c r="L60" s="25"/>
    </row>
    <row r="61" spans="1:13" s="2" customFormat="1" ht="21.75" customHeight="1" x14ac:dyDescent="0.2">
      <c r="A61" s="212" t="s">
        <v>21</v>
      </c>
      <c r="B61" s="212"/>
      <c r="C61" s="212"/>
      <c r="D61" s="212"/>
      <c r="E61" s="212"/>
      <c r="F61" s="28"/>
      <c r="G61" s="28"/>
      <c r="H61" s="28"/>
      <c r="I61" s="28"/>
      <c r="J61" s="28"/>
      <c r="K61" s="28"/>
      <c r="L61" s="28"/>
    </row>
    <row r="62" spans="1:13" s="2" customFormat="1" ht="21.75" customHeight="1" x14ac:dyDescent="0.2">
      <c r="A62" s="29"/>
      <c r="B62" s="28" t="s">
        <v>26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spans="1:13" s="24" customFormat="1" ht="18" customHeight="1" x14ac:dyDescent="0.45">
      <c r="A63" s="206" t="s">
        <v>9</v>
      </c>
      <c r="B63" s="206" t="s">
        <v>10</v>
      </c>
      <c r="C63" s="206" t="s">
        <v>11</v>
      </c>
      <c r="D63" s="31" t="s">
        <v>22</v>
      </c>
      <c r="E63" s="209" t="s">
        <v>12</v>
      </c>
      <c r="F63" s="210"/>
      <c r="G63" s="210"/>
      <c r="H63" s="210"/>
      <c r="I63" s="211"/>
      <c r="J63" s="201" t="s">
        <v>13</v>
      </c>
      <c r="K63" s="201" t="s">
        <v>14</v>
      </c>
      <c r="L63" s="201" t="s">
        <v>15</v>
      </c>
    </row>
    <row r="64" spans="1:13" s="24" customFormat="1" ht="18" customHeight="1" x14ac:dyDescent="0.45">
      <c r="A64" s="207"/>
      <c r="B64" s="207"/>
      <c r="C64" s="207"/>
      <c r="D64" s="33" t="s">
        <v>23</v>
      </c>
      <c r="E64" s="32">
        <v>2566</v>
      </c>
      <c r="F64" s="30">
        <v>2567</v>
      </c>
      <c r="G64" s="32">
        <v>2568</v>
      </c>
      <c r="H64" s="30">
        <v>2569</v>
      </c>
      <c r="I64" s="32">
        <v>2570</v>
      </c>
      <c r="J64" s="202"/>
      <c r="K64" s="202"/>
      <c r="L64" s="202"/>
    </row>
    <row r="65" spans="1:12" s="24" customFormat="1" ht="18" customHeight="1" x14ac:dyDescent="0.45">
      <c r="A65" s="208"/>
      <c r="B65" s="208"/>
      <c r="C65" s="208"/>
      <c r="D65" s="35" t="s">
        <v>10</v>
      </c>
      <c r="E65" s="30" t="s">
        <v>16</v>
      </c>
      <c r="F65" s="30" t="s">
        <v>16</v>
      </c>
      <c r="G65" s="30" t="s">
        <v>16</v>
      </c>
      <c r="H65" s="30" t="s">
        <v>16</v>
      </c>
      <c r="I65" s="30" t="s">
        <v>16</v>
      </c>
      <c r="J65" s="203"/>
      <c r="K65" s="203"/>
      <c r="L65" s="203"/>
    </row>
    <row r="66" spans="1:12" ht="18" customHeight="1" x14ac:dyDescent="0.45">
      <c r="A66" s="21">
        <v>1</v>
      </c>
      <c r="B66" s="45" t="s">
        <v>97</v>
      </c>
      <c r="C66" s="39" t="s">
        <v>75</v>
      </c>
      <c r="D66" s="5" t="s">
        <v>98</v>
      </c>
      <c r="E66" s="40"/>
      <c r="F66" s="40"/>
      <c r="G66" s="40"/>
      <c r="H66" s="40">
        <v>400000</v>
      </c>
      <c r="I66" s="40"/>
      <c r="J66" s="39" t="s">
        <v>17</v>
      </c>
      <c r="K66" s="39" t="s">
        <v>99</v>
      </c>
      <c r="L66" s="39" t="s">
        <v>61</v>
      </c>
    </row>
    <row r="67" spans="1:12" ht="18" customHeight="1" x14ac:dyDescent="0.45">
      <c r="A67" s="21"/>
      <c r="B67" s="7" t="s">
        <v>212</v>
      </c>
      <c r="C67" s="39" t="s">
        <v>100</v>
      </c>
      <c r="D67" s="5" t="s">
        <v>112</v>
      </c>
      <c r="E67" s="40"/>
      <c r="F67" s="40"/>
      <c r="G67" s="40"/>
      <c r="H67" s="40"/>
      <c r="I67" s="40"/>
      <c r="J67" s="39" t="s">
        <v>18</v>
      </c>
      <c r="K67" s="39" t="s">
        <v>101</v>
      </c>
      <c r="L67" s="39"/>
    </row>
    <row r="68" spans="1:12" ht="18" customHeight="1" x14ac:dyDescent="0.45">
      <c r="A68" s="21"/>
      <c r="B68" s="7" t="s">
        <v>213</v>
      </c>
      <c r="C68" s="39" t="s">
        <v>102</v>
      </c>
      <c r="D68" s="5"/>
      <c r="E68" s="40"/>
      <c r="F68" s="40"/>
      <c r="G68" s="40"/>
      <c r="H68" s="40"/>
      <c r="I68" s="40"/>
      <c r="J68" s="39" t="s">
        <v>103</v>
      </c>
      <c r="K68" s="39" t="s">
        <v>104</v>
      </c>
      <c r="L68" s="39"/>
    </row>
    <row r="69" spans="1:12" ht="18" customHeight="1" x14ac:dyDescent="0.45">
      <c r="A69" s="22"/>
      <c r="B69" s="23"/>
      <c r="C69" s="41"/>
      <c r="D69" s="41"/>
      <c r="E69" s="42"/>
      <c r="F69" s="42"/>
      <c r="G69" s="42"/>
      <c r="H69" s="42"/>
      <c r="I69" s="42"/>
      <c r="J69" s="41" t="s">
        <v>102</v>
      </c>
      <c r="K69" s="41"/>
      <c r="L69" s="41"/>
    </row>
    <row r="70" spans="1:12" s="24" customFormat="1" ht="24.75" customHeight="1" x14ac:dyDescent="0.45">
      <c r="A70" s="206" t="s">
        <v>9</v>
      </c>
      <c r="B70" s="206" t="s">
        <v>10</v>
      </c>
      <c r="C70" s="206" t="s">
        <v>11</v>
      </c>
      <c r="D70" s="31" t="s">
        <v>22</v>
      </c>
      <c r="E70" s="209" t="s">
        <v>12</v>
      </c>
      <c r="F70" s="210"/>
      <c r="G70" s="210"/>
      <c r="H70" s="210"/>
      <c r="I70" s="211"/>
      <c r="J70" s="201" t="s">
        <v>13</v>
      </c>
      <c r="K70" s="201" t="s">
        <v>14</v>
      </c>
      <c r="L70" s="201" t="s">
        <v>15</v>
      </c>
    </row>
    <row r="71" spans="1:12" s="24" customFormat="1" ht="24.75" customHeight="1" x14ac:dyDescent="0.45">
      <c r="A71" s="207"/>
      <c r="B71" s="207"/>
      <c r="C71" s="207"/>
      <c r="D71" s="33" t="s">
        <v>23</v>
      </c>
      <c r="E71" s="32">
        <v>2566</v>
      </c>
      <c r="F71" s="30">
        <v>2567</v>
      </c>
      <c r="G71" s="32">
        <v>2568</v>
      </c>
      <c r="H71" s="30">
        <v>2569</v>
      </c>
      <c r="I71" s="32">
        <v>2570</v>
      </c>
      <c r="J71" s="202"/>
      <c r="K71" s="202"/>
      <c r="L71" s="202"/>
    </row>
    <row r="72" spans="1:12" s="24" customFormat="1" ht="24.75" customHeight="1" x14ac:dyDescent="0.45">
      <c r="A72" s="208"/>
      <c r="B72" s="208"/>
      <c r="C72" s="208"/>
      <c r="D72" s="35" t="s">
        <v>10</v>
      </c>
      <c r="E72" s="30" t="s">
        <v>16</v>
      </c>
      <c r="F72" s="30" t="s">
        <v>16</v>
      </c>
      <c r="G72" s="30" t="s">
        <v>16</v>
      </c>
      <c r="H72" s="30" t="s">
        <v>16</v>
      </c>
      <c r="I72" s="30" t="s">
        <v>16</v>
      </c>
      <c r="J72" s="203"/>
      <c r="K72" s="203"/>
      <c r="L72" s="203"/>
    </row>
    <row r="73" spans="1:12" ht="21" customHeight="1" x14ac:dyDescent="0.45">
      <c r="A73" s="43">
        <v>2</v>
      </c>
      <c r="B73" s="45" t="s">
        <v>105</v>
      </c>
      <c r="C73" s="39" t="s">
        <v>75</v>
      </c>
      <c r="D73" s="5" t="s">
        <v>106</v>
      </c>
      <c r="E73" s="40"/>
      <c r="F73" s="40"/>
      <c r="G73" s="152"/>
      <c r="H73" s="40">
        <v>100000</v>
      </c>
      <c r="I73" s="40"/>
      <c r="J73" s="39" t="s">
        <v>17</v>
      </c>
      <c r="K73" s="39" t="s">
        <v>107</v>
      </c>
      <c r="L73" s="39" t="s">
        <v>61</v>
      </c>
    </row>
    <row r="74" spans="1:12" ht="21" customHeight="1" x14ac:dyDescent="0.45">
      <c r="A74" s="21"/>
      <c r="B74" s="7" t="s">
        <v>214</v>
      </c>
      <c r="C74" s="39" t="s">
        <v>108</v>
      </c>
      <c r="D74" s="5" t="s">
        <v>109</v>
      </c>
      <c r="E74" s="40"/>
      <c r="F74" s="40"/>
      <c r="G74" s="40"/>
      <c r="H74" s="40"/>
      <c r="I74" s="40"/>
      <c r="J74" s="39" t="s">
        <v>18</v>
      </c>
      <c r="K74" s="39" t="s">
        <v>30</v>
      </c>
      <c r="L74" s="39"/>
    </row>
    <row r="75" spans="1:12" ht="21" customHeight="1" x14ac:dyDescent="0.45">
      <c r="A75" s="21"/>
      <c r="B75" s="7"/>
      <c r="C75" s="39" t="s">
        <v>65</v>
      </c>
      <c r="D75" s="5"/>
      <c r="E75" s="40"/>
      <c r="F75" s="40"/>
      <c r="G75" s="40"/>
      <c r="H75" s="40"/>
      <c r="I75" s="40"/>
      <c r="J75" s="39" t="s">
        <v>110</v>
      </c>
      <c r="K75" s="39"/>
      <c r="L75" s="39"/>
    </row>
    <row r="76" spans="1:12" ht="21" customHeight="1" x14ac:dyDescent="0.45">
      <c r="A76" s="22"/>
      <c r="B76" s="7"/>
      <c r="C76" s="41"/>
      <c r="D76" s="41"/>
      <c r="E76" s="42"/>
      <c r="F76" s="42"/>
      <c r="G76" s="42"/>
      <c r="H76" s="42"/>
      <c r="I76" s="42"/>
      <c r="J76" s="41" t="s">
        <v>111</v>
      </c>
      <c r="K76" s="41"/>
      <c r="L76" s="41"/>
    </row>
    <row r="77" spans="1:12" s="24" customFormat="1" x14ac:dyDescent="0.45">
      <c r="A77" s="192" t="s">
        <v>24</v>
      </c>
      <c r="B77" s="192"/>
      <c r="C77" s="192"/>
      <c r="D77" s="30"/>
      <c r="E77" s="122"/>
      <c r="F77" s="122"/>
      <c r="G77" s="101"/>
      <c r="H77" s="122">
        <f>SUM(H66:H76)</f>
        <v>502569</v>
      </c>
      <c r="I77" s="122"/>
      <c r="J77" s="214"/>
      <c r="K77" s="215"/>
      <c r="L77" s="216"/>
    </row>
  </sheetData>
  <mergeCells count="62">
    <mergeCell ref="J77:L77"/>
    <mergeCell ref="A70:A72"/>
    <mergeCell ref="B70:B72"/>
    <mergeCell ref="C70:C72"/>
    <mergeCell ref="E70:I70"/>
    <mergeCell ref="J70:J72"/>
    <mergeCell ref="K70:K72"/>
    <mergeCell ref="L70:L72"/>
    <mergeCell ref="A77:C77"/>
    <mergeCell ref="A13:G13"/>
    <mergeCell ref="A15:E15"/>
    <mergeCell ref="A12:L12"/>
    <mergeCell ref="A1:L1"/>
    <mergeCell ref="A2:L2"/>
    <mergeCell ref="A3:L3"/>
    <mergeCell ref="A4:L4"/>
    <mergeCell ref="A5:L5"/>
    <mergeCell ref="B6:M6"/>
    <mergeCell ref="B7:M7"/>
    <mergeCell ref="A8:L8"/>
    <mergeCell ref="A9:L9"/>
    <mergeCell ref="A10:L10"/>
    <mergeCell ref="A11:L11"/>
    <mergeCell ref="A14:G14"/>
    <mergeCell ref="K17:K19"/>
    <mergeCell ref="L17:L19"/>
    <mergeCell ref="A17:A19"/>
    <mergeCell ref="B17:B19"/>
    <mergeCell ref="C17:C19"/>
    <mergeCell ref="E17:I17"/>
    <mergeCell ref="J17:J19"/>
    <mergeCell ref="L63:L65"/>
    <mergeCell ref="K63:K65"/>
    <mergeCell ref="J63:J65"/>
    <mergeCell ref="E63:I63"/>
    <mergeCell ref="C63:C65"/>
    <mergeCell ref="B63:B65"/>
    <mergeCell ref="A63:A65"/>
    <mergeCell ref="A61:E61"/>
    <mergeCell ref="A60:G60"/>
    <mergeCell ref="A59:G59"/>
    <mergeCell ref="A58:L58"/>
    <mergeCell ref="A57:L57"/>
    <mergeCell ref="A56:L56"/>
    <mergeCell ref="A55:L55"/>
    <mergeCell ref="A54:L54"/>
    <mergeCell ref="K25:K27"/>
    <mergeCell ref="L25:L27"/>
    <mergeCell ref="A25:A27"/>
    <mergeCell ref="B25:B27"/>
    <mergeCell ref="C25:C27"/>
    <mergeCell ref="E25:I25"/>
    <mergeCell ref="J25:J27"/>
    <mergeCell ref="J45:L45"/>
    <mergeCell ref="A45:C45"/>
    <mergeCell ref="A48:L48"/>
    <mergeCell ref="A47:L47"/>
    <mergeCell ref="B53:M53"/>
    <mergeCell ref="B52:M52"/>
    <mergeCell ref="A51:L51"/>
    <mergeCell ref="A50:L50"/>
    <mergeCell ref="A49:L49"/>
  </mergeCells>
  <pageMargins left="0.25" right="0.25" top="0.75" bottom="0.75" header="0.3" footer="0.3"/>
  <pageSetup paperSize="9" orientation="landscape" horizontalDpi="4294967293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EA87-D0F7-457E-BD27-5E3EA267D574}">
  <dimension ref="A1:M45"/>
  <sheetViews>
    <sheetView view="pageLayout" topLeftCell="A28" zoomScaleNormal="100" workbookViewId="0">
      <selection activeCell="A11" sqref="A11:L11"/>
    </sheetView>
  </sheetViews>
  <sheetFormatPr defaultColWidth="8.625" defaultRowHeight="21" x14ac:dyDescent="0.45"/>
  <cols>
    <col min="1" max="1" width="4.125" style="3" customWidth="1"/>
    <col min="2" max="2" width="30.375" style="4" customWidth="1"/>
    <col min="3" max="3" width="15.75" style="4" customWidth="1"/>
    <col min="4" max="4" width="14.75" style="4" customWidth="1"/>
    <col min="5" max="7" width="5.5" style="4" customWidth="1"/>
    <col min="8" max="8" width="6.875" style="4" customWidth="1"/>
    <col min="9" max="9" width="8" style="4" customWidth="1"/>
    <col min="10" max="10" width="11.75" style="4" customWidth="1"/>
    <col min="11" max="11" width="13" style="4" customWidth="1"/>
    <col min="12" max="12" width="9.75" style="4" customWidth="1"/>
    <col min="13" max="16384" width="8.625" style="4"/>
  </cols>
  <sheetData>
    <row r="1" spans="1:13" s="24" customFormat="1" ht="17.25" customHeight="1" x14ac:dyDescent="0.45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</row>
    <row r="2" spans="1:13" s="24" customFormat="1" ht="22.5" customHeight="1" x14ac:dyDescent="0.45">
      <c r="A2" s="200" t="s">
        <v>252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</row>
    <row r="3" spans="1:13" s="24" customFormat="1" ht="17.25" customHeight="1" x14ac:dyDescent="0.45">
      <c r="A3" s="213" t="s">
        <v>19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</row>
    <row r="4" spans="1:13" s="26" customFormat="1" x14ac:dyDescent="0.45">
      <c r="A4" s="197" t="s">
        <v>53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</row>
    <row r="5" spans="1:13" s="26" customFormat="1" x14ac:dyDescent="0.45">
      <c r="A5" s="197" t="s">
        <v>2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</row>
    <row r="6" spans="1:13" s="26" customFormat="1" x14ac:dyDescent="0.45">
      <c r="A6" s="27"/>
      <c r="B6" s="199" t="s">
        <v>215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</row>
    <row r="7" spans="1:13" s="26" customFormat="1" x14ac:dyDescent="0.45">
      <c r="A7" s="27"/>
      <c r="B7" s="52" t="s">
        <v>216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</row>
    <row r="8" spans="1:13" s="24" customFormat="1" ht="44.25" customHeight="1" x14ac:dyDescent="0.45">
      <c r="A8" s="217" t="s">
        <v>57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3" s="24" customFormat="1" x14ac:dyDescent="0.45">
      <c r="A9" s="197" t="s">
        <v>54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</row>
    <row r="10" spans="1:13" s="26" customFormat="1" x14ac:dyDescent="0.45">
      <c r="A10" s="197" t="s">
        <v>217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</row>
    <row r="11" spans="1:13" s="24" customFormat="1" x14ac:dyDescent="0.45">
      <c r="A11" s="197" t="s">
        <v>218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</row>
    <row r="12" spans="1:13" s="24" customFormat="1" x14ac:dyDescent="0.45">
      <c r="A12" s="197" t="s">
        <v>219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</row>
    <row r="13" spans="1:13" s="2" customFormat="1" ht="21" customHeight="1" x14ac:dyDescent="0.2">
      <c r="A13" s="212" t="s">
        <v>220</v>
      </c>
      <c r="B13" s="212"/>
      <c r="C13" s="212"/>
      <c r="D13" s="212"/>
      <c r="E13" s="212"/>
      <c r="F13" s="28"/>
      <c r="G13" s="28"/>
      <c r="H13" s="28"/>
      <c r="I13" s="28"/>
      <c r="J13" s="28"/>
      <c r="K13" s="28"/>
      <c r="L13" s="28"/>
    </row>
    <row r="14" spans="1:13" s="24" customFormat="1" ht="20.45" customHeight="1" x14ac:dyDescent="0.45">
      <c r="A14" s="198" t="s">
        <v>9</v>
      </c>
      <c r="B14" s="198" t="s">
        <v>10</v>
      </c>
      <c r="C14" s="198" t="s">
        <v>11</v>
      </c>
      <c r="D14" s="31" t="s">
        <v>22</v>
      </c>
      <c r="E14" s="198" t="s">
        <v>12</v>
      </c>
      <c r="F14" s="198"/>
      <c r="G14" s="198"/>
      <c r="H14" s="198"/>
      <c r="I14" s="198"/>
      <c r="J14" s="196" t="s">
        <v>13</v>
      </c>
      <c r="K14" s="196" t="s">
        <v>14</v>
      </c>
      <c r="L14" s="196" t="s">
        <v>15</v>
      </c>
    </row>
    <row r="15" spans="1:13" s="24" customFormat="1" x14ac:dyDescent="0.45">
      <c r="A15" s="198"/>
      <c r="B15" s="198"/>
      <c r="C15" s="198"/>
      <c r="D15" s="33" t="s">
        <v>23</v>
      </c>
      <c r="E15" s="32">
        <v>2566</v>
      </c>
      <c r="F15" s="30">
        <v>2567</v>
      </c>
      <c r="G15" s="32">
        <v>2568</v>
      </c>
      <c r="H15" s="30">
        <v>2569</v>
      </c>
      <c r="I15" s="32">
        <v>2570</v>
      </c>
      <c r="J15" s="196"/>
      <c r="K15" s="196"/>
      <c r="L15" s="196"/>
    </row>
    <row r="16" spans="1:13" s="24" customFormat="1" x14ac:dyDescent="0.45">
      <c r="A16" s="206"/>
      <c r="B16" s="206"/>
      <c r="C16" s="206"/>
      <c r="D16" s="33" t="s">
        <v>10</v>
      </c>
      <c r="E16" s="34" t="s">
        <v>16</v>
      </c>
      <c r="F16" s="34" t="s">
        <v>16</v>
      </c>
      <c r="G16" s="34" t="s">
        <v>16</v>
      </c>
      <c r="H16" s="34" t="s">
        <v>16</v>
      </c>
      <c r="I16" s="34" t="s">
        <v>16</v>
      </c>
      <c r="J16" s="201"/>
      <c r="K16" s="201"/>
      <c r="L16" s="201"/>
    </row>
    <row r="17" spans="1:13" s="138" customFormat="1" ht="21.75" customHeight="1" x14ac:dyDescent="0.45">
      <c r="A17" s="133">
        <v>1</v>
      </c>
      <c r="B17" s="134" t="s">
        <v>291</v>
      </c>
      <c r="C17" s="54" t="s">
        <v>293</v>
      </c>
      <c r="D17" s="135" t="s">
        <v>296</v>
      </c>
      <c r="E17" s="136"/>
      <c r="F17" s="136"/>
      <c r="G17" s="136"/>
      <c r="H17" s="136">
        <v>500000</v>
      </c>
      <c r="I17" s="136"/>
      <c r="J17" s="54" t="s">
        <v>302</v>
      </c>
      <c r="K17" s="54" t="s">
        <v>303</v>
      </c>
      <c r="L17" s="137" t="s">
        <v>55</v>
      </c>
    </row>
    <row r="18" spans="1:13" s="138" customFormat="1" ht="21.75" customHeight="1" x14ac:dyDescent="0.45">
      <c r="A18" s="97"/>
      <c r="B18" s="139" t="s">
        <v>292</v>
      </c>
      <c r="C18" s="55" t="s">
        <v>294</v>
      </c>
      <c r="D18" s="140" t="s">
        <v>33</v>
      </c>
      <c r="E18" s="141"/>
      <c r="F18" s="141"/>
      <c r="G18" s="141"/>
      <c r="H18" s="141"/>
      <c r="I18" s="141"/>
      <c r="J18" s="55" t="s">
        <v>10</v>
      </c>
      <c r="K18" s="55" t="s">
        <v>304</v>
      </c>
      <c r="L18" s="95"/>
    </row>
    <row r="19" spans="1:13" s="138" customFormat="1" ht="21.75" customHeight="1" x14ac:dyDescent="0.45">
      <c r="A19" s="97"/>
      <c r="B19" s="139"/>
      <c r="C19" s="55" t="s">
        <v>295</v>
      </c>
      <c r="D19" s="140"/>
      <c r="E19" s="141"/>
      <c r="F19" s="141"/>
      <c r="G19" s="141"/>
      <c r="H19" s="141"/>
      <c r="I19" s="141"/>
      <c r="J19" s="55"/>
      <c r="K19" s="55" t="s">
        <v>305</v>
      </c>
      <c r="L19" s="95"/>
    </row>
    <row r="20" spans="1:13" s="138" customFormat="1" ht="21.75" customHeight="1" x14ac:dyDescent="0.45">
      <c r="A20" s="97"/>
      <c r="B20" s="139"/>
      <c r="C20" s="95" t="s">
        <v>56</v>
      </c>
      <c r="D20" s="142"/>
      <c r="E20" s="141"/>
      <c r="F20" s="141"/>
      <c r="G20" s="141"/>
      <c r="H20" s="141"/>
      <c r="I20" s="141"/>
      <c r="J20" s="55"/>
      <c r="K20" s="55" t="s">
        <v>104</v>
      </c>
      <c r="L20" s="95"/>
    </row>
    <row r="21" spans="1:13" s="138" customFormat="1" ht="21.75" customHeight="1" x14ac:dyDescent="0.45">
      <c r="A21" s="143"/>
      <c r="B21" s="144"/>
      <c r="C21" s="94"/>
      <c r="D21" s="130"/>
      <c r="E21" s="145"/>
      <c r="F21" s="145"/>
      <c r="G21" s="145"/>
      <c r="H21" s="145"/>
      <c r="I21" s="145"/>
      <c r="J21" s="146"/>
      <c r="K21" s="146"/>
      <c r="L21" s="94"/>
    </row>
    <row r="22" spans="1:13" x14ac:dyDescent="0.45">
      <c r="A22" s="192" t="s">
        <v>90</v>
      </c>
      <c r="B22" s="192"/>
      <c r="C22" s="192"/>
      <c r="D22" s="192"/>
      <c r="E22" s="51">
        <f>SUM(E17)</f>
        <v>0</v>
      </c>
      <c r="F22" s="51">
        <f t="shared" ref="F22:I22" si="0">SUM(F17)</f>
        <v>0</v>
      </c>
      <c r="G22" s="51">
        <f t="shared" si="0"/>
        <v>0</v>
      </c>
      <c r="H22" s="51">
        <f t="shared" si="0"/>
        <v>500000</v>
      </c>
      <c r="I22" s="51">
        <f t="shared" si="0"/>
        <v>0</v>
      </c>
      <c r="J22" s="218"/>
      <c r="K22" s="218"/>
      <c r="L22" s="218"/>
    </row>
    <row r="23" spans="1:13" s="24" customFormat="1" ht="17.25" customHeight="1" x14ac:dyDescent="0.45">
      <c r="A23" s="213" t="s">
        <v>0</v>
      </c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</row>
    <row r="24" spans="1:13" s="24" customFormat="1" ht="22.5" customHeight="1" x14ac:dyDescent="0.45">
      <c r="A24" s="200" t="s">
        <v>252</v>
      </c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</row>
    <row r="25" spans="1:13" s="24" customFormat="1" ht="17.25" customHeight="1" x14ac:dyDescent="0.45">
      <c r="A25" s="213" t="s">
        <v>19</v>
      </c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</row>
    <row r="26" spans="1:13" s="26" customFormat="1" x14ac:dyDescent="0.45">
      <c r="A26" s="197" t="s">
        <v>221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</row>
    <row r="27" spans="1:13" s="26" customFormat="1" x14ac:dyDescent="0.45">
      <c r="A27" s="197" t="s">
        <v>2</v>
      </c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</row>
    <row r="28" spans="1:13" s="26" customFormat="1" x14ac:dyDescent="0.45">
      <c r="A28" s="27"/>
      <c r="B28" s="199" t="s">
        <v>4</v>
      </c>
      <c r="C28" s="199"/>
      <c r="D28" s="199"/>
      <c r="E28" s="199"/>
      <c r="F28" s="199"/>
      <c r="G28" s="199"/>
      <c r="H28" s="199"/>
      <c r="I28" s="199"/>
      <c r="J28" s="199"/>
      <c r="K28" s="199"/>
      <c r="L28" s="199"/>
      <c r="M28" s="199"/>
    </row>
    <row r="29" spans="1:13" s="26" customFormat="1" x14ac:dyDescent="0.45">
      <c r="A29" s="27"/>
      <c r="B29" s="52" t="s">
        <v>222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</row>
    <row r="30" spans="1:13" s="24" customFormat="1" ht="21" customHeight="1" x14ac:dyDescent="0.45">
      <c r="A30" s="217" t="s">
        <v>223</v>
      </c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</row>
    <row r="31" spans="1:13" s="24" customFormat="1" ht="24.75" customHeight="1" x14ac:dyDescent="0.45">
      <c r="A31" s="197" t="s">
        <v>224</v>
      </c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</row>
    <row r="32" spans="1:13" s="26" customFormat="1" x14ac:dyDescent="0.45">
      <c r="A32" s="197" t="s">
        <v>225</v>
      </c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</row>
    <row r="33" spans="1:12" s="24" customFormat="1" x14ac:dyDescent="0.45">
      <c r="A33" s="197" t="s">
        <v>226</v>
      </c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</row>
    <row r="34" spans="1:12" s="24" customFormat="1" x14ac:dyDescent="0.45">
      <c r="A34" s="197" t="s">
        <v>227</v>
      </c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</row>
    <row r="35" spans="1:12" s="2" customFormat="1" ht="21" customHeight="1" x14ac:dyDescent="0.2">
      <c r="A35" s="212" t="s">
        <v>119</v>
      </c>
      <c r="B35" s="212"/>
      <c r="C35" s="212"/>
      <c r="D35" s="212"/>
      <c r="E35" s="212"/>
      <c r="F35" s="28"/>
      <c r="G35" s="28"/>
      <c r="H35" s="28"/>
      <c r="I35" s="28"/>
      <c r="J35" s="28"/>
      <c r="K35" s="28"/>
      <c r="L35" s="28"/>
    </row>
    <row r="36" spans="1:12" s="24" customFormat="1" ht="20.45" customHeight="1" x14ac:dyDescent="0.45">
      <c r="A36" s="198" t="s">
        <v>9</v>
      </c>
      <c r="B36" s="198" t="s">
        <v>10</v>
      </c>
      <c r="C36" s="198" t="s">
        <v>11</v>
      </c>
      <c r="D36" s="31" t="s">
        <v>22</v>
      </c>
      <c r="E36" s="198" t="s">
        <v>12</v>
      </c>
      <c r="F36" s="198"/>
      <c r="G36" s="198"/>
      <c r="H36" s="198"/>
      <c r="I36" s="198"/>
      <c r="J36" s="196" t="s">
        <v>13</v>
      </c>
      <c r="K36" s="196" t="s">
        <v>14</v>
      </c>
      <c r="L36" s="196" t="s">
        <v>15</v>
      </c>
    </row>
    <row r="37" spans="1:12" s="24" customFormat="1" x14ac:dyDescent="0.45">
      <c r="A37" s="198"/>
      <c r="B37" s="198"/>
      <c r="C37" s="198"/>
      <c r="D37" s="33" t="s">
        <v>23</v>
      </c>
      <c r="E37" s="32">
        <v>2566</v>
      </c>
      <c r="F37" s="30">
        <v>2567</v>
      </c>
      <c r="G37" s="32">
        <v>2568</v>
      </c>
      <c r="H37" s="30">
        <v>2569</v>
      </c>
      <c r="I37" s="32">
        <v>2570</v>
      </c>
      <c r="J37" s="196"/>
      <c r="K37" s="196"/>
      <c r="L37" s="196"/>
    </row>
    <row r="38" spans="1:12" s="24" customFormat="1" x14ac:dyDescent="0.45">
      <c r="A38" s="206"/>
      <c r="B38" s="206"/>
      <c r="C38" s="206"/>
      <c r="D38" s="33" t="s">
        <v>10</v>
      </c>
      <c r="E38" s="34" t="s">
        <v>16</v>
      </c>
      <c r="F38" s="34" t="s">
        <v>16</v>
      </c>
      <c r="G38" s="34" t="s">
        <v>16</v>
      </c>
      <c r="H38" s="34" t="s">
        <v>16</v>
      </c>
      <c r="I38" s="34" t="s">
        <v>16</v>
      </c>
      <c r="J38" s="201"/>
      <c r="K38" s="201"/>
      <c r="L38" s="201"/>
    </row>
    <row r="39" spans="1:12" s="138" customFormat="1" ht="20.25" customHeight="1" x14ac:dyDescent="0.45">
      <c r="A39" s="163">
        <v>1</v>
      </c>
      <c r="B39" s="169" t="s">
        <v>228</v>
      </c>
      <c r="C39" s="54" t="s">
        <v>232</v>
      </c>
      <c r="D39" s="54" t="s">
        <v>236</v>
      </c>
      <c r="E39" s="166"/>
      <c r="F39" s="136"/>
      <c r="G39" s="136"/>
      <c r="H39" s="136"/>
      <c r="I39" s="136">
        <v>1051000</v>
      </c>
      <c r="J39" s="54" t="s">
        <v>241</v>
      </c>
      <c r="K39" s="54" t="s">
        <v>243</v>
      </c>
      <c r="L39" s="137" t="s">
        <v>245</v>
      </c>
    </row>
    <row r="40" spans="1:12" s="138" customFormat="1" ht="20.25" customHeight="1" x14ac:dyDescent="0.45">
      <c r="A40" s="164"/>
      <c r="B40" s="170" t="s">
        <v>229</v>
      </c>
      <c r="C40" s="55" t="s">
        <v>233</v>
      </c>
      <c r="D40" s="55" t="s">
        <v>240</v>
      </c>
      <c r="E40" s="167"/>
      <c r="F40" s="141"/>
      <c r="G40" s="141"/>
      <c r="H40" s="141"/>
      <c r="I40" s="141"/>
      <c r="J40" s="55" t="s">
        <v>242</v>
      </c>
      <c r="K40" s="55" t="s">
        <v>244</v>
      </c>
      <c r="L40" s="95" t="s">
        <v>246</v>
      </c>
    </row>
    <row r="41" spans="1:12" s="138" customFormat="1" ht="20.25" customHeight="1" x14ac:dyDescent="0.45">
      <c r="A41" s="164"/>
      <c r="B41" s="170" t="s">
        <v>230</v>
      </c>
      <c r="C41" s="55" t="s">
        <v>117</v>
      </c>
      <c r="D41" s="55" t="s">
        <v>234</v>
      </c>
      <c r="E41" s="167"/>
      <c r="F41" s="141"/>
      <c r="G41" s="141"/>
      <c r="H41" s="141"/>
      <c r="I41" s="141"/>
      <c r="J41" s="55"/>
      <c r="K41" s="55" t="s">
        <v>117</v>
      </c>
      <c r="L41" s="95" t="s">
        <v>247</v>
      </c>
    </row>
    <row r="42" spans="1:12" s="138" customFormat="1" ht="20.25" customHeight="1" x14ac:dyDescent="0.45">
      <c r="A42" s="164"/>
      <c r="B42" s="170" t="s">
        <v>231</v>
      </c>
      <c r="C42" s="95" t="s">
        <v>234</v>
      </c>
      <c r="D42" s="55" t="s">
        <v>237</v>
      </c>
      <c r="E42" s="167"/>
      <c r="F42" s="141"/>
      <c r="G42" s="141"/>
      <c r="H42" s="141"/>
      <c r="I42" s="141"/>
      <c r="J42" s="55"/>
      <c r="K42" s="55" t="s">
        <v>33</v>
      </c>
      <c r="L42" s="95" t="s">
        <v>248</v>
      </c>
    </row>
    <row r="43" spans="1:12" s="138" customFormat="1" ht="20.25" customHeight="1" x14ac:dyDescent="0.45">
      <c r="A43" s="164"/>
      <c r="B43" s="171"/>
      <c r="C43" s="95" t="s">
        <v>235</v>
      </c>
      <c r="D43" s="95" t="s">
        <v>238</v>
      </c>
      <c r="E43" s="167"/>
      <c r="F43" s="141"/>
      <c r="G43" s="141"/>
      <c r="H43" s="141"/>
      <c r="I43" s="141"/>
      <c r="J43" s="55"/>
      <c r="K43" s="55"/>
      <c r="L43" s="95"/>
    </row>
    <row r="44" spans="1:12" s="138" customFormat="1" ht="20.25" customHeight="1" x14ac:dyDescent="0.45">
      <c r="A44" s="165"/>
      <c r="B44" s="172"/>
      <c r="C44" s="173"/>
      <c r="D44" s="94" t="s">
        <v>239</v>
      </c>
      <c r="E44" s="168"/>
      <c r="F44" s="145"/>
      <c r="G44" s="145"/>
      <c r="H44" s="145"/>
      <c r="I44" s="145"/>
      <c r="J44" s="146"/>
      <c r="K44" s="146"/>
      <c r="L44" s="94"/>
    </row>
    <row r="45" spans="1:12" x14ac:dyDescent="0.45">
      <c r="A45" s="192" t="s">
        <v>90</v>
      </c>
      <c r="B45" s="204"/>
      <c r="C45" s="204"/>
      <c r="D45" s="204"/>
      <c r="E45" s="51">
        <f>SUM(E39)</f>
        <v>0</v>
      </c>
      <c r="F45" s="51">
        <f t="shared" ref="F45:I45" si="1">SUM(F39)</f>
        <v>0</v>
      </c>
      <c r="G45" s="51">
        <f t="shared" si="1"/>
        <v>0</v>
      </c>
      <c r="H45" s="51">
        <f t="shared" si="1"/>
        <v>0</v>
      </c>
      <c r="I45" s="51">
        <f t="shared" si="1"/>
        <v>1051000</v>
      </c>
      <c r="J45" s="218"/>
      <c r="K45" s="218"/>
      <c r="L45" s="218"/>
    </row>
  </sheetData>
  <mergeCells count="42">
    <mergeCell ref="K36:K38"/>
    <mergeCell ref="L36:L38"/>
    <mergeCell ref="A45:D45"/>
    <mergeCell ref="J45:L45"/>
    <mergeCell ref="A13:E13"/>
    <mergeCell ref="A14:A16"/>
    <mergeCell ref="B14:B16"/>
    <mergeCell ref="C14:C16"/>
    <mergeCell ref="E14:I14"/>
    <mergeCell ref="J22:L22"/>
    <mergeCell ref="A22:D22"/>
    <mergeCell ref="J14:J16"/>
    <mergeCell ref="K14:K16"/>
    <mergeCell ref="L14:L16"/>
    <mergeCell ref="A26:L26"/>
    <mergeCell ref="A27:L27"/>
    <mergeCell ref="A12:L12"/>
    <mergeCell ref="A1:L1"/>
    <mergeCell ref="A2:L2"/>
    <mergeCell ref="A3:L3"/>
    <mergeCell ref="A4:L4"/>
    <mergeCell ref="A5:L5"/>
    <mergeCell ref="B6:M6"/>
    <mergeCell ref="A8:L8"/>
    <mergeCell ref="A9:L9"/>
    <mergeCell ref="A10:L10"/>
    <mergeCell ref="A11:L11"/>
    <mergeCell ref="A30:L30"/>
    <mergeCell ref="A23:L23"/>
    <mergeCell ref="A24:L24"/>
    <mergeCell ref="A25:L25"/>
    <mergeCell ref="B28:M28"/>
    <mergeCell ref="A32:L32"/>
    <mergeCell ref="A33:L33"/>
    <mergeCell ref="A34:L34"/>
    <mergeCell ref="A31:L31"/>
    <mergeCell ref="A35:E35"/>
    <mergeCell ref="A36:A38"/>
    <mergeCell ref="B36:B38"/>
    <mergeCell ref="C36:C38"/>
    <mergeCell ref="E36:I36"/>
    <mergeCell ref="J36:J38"/>
  </mergeCells>
  <pageMargins left="0.25" right="0.25" top="0.75" bottom="0.75" header="0.3" footer="0.3"/>
  <pageSetup paperSize="9" orientation="landscape" horizontalDpi="4294967293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8</vt:i4>
      </vt:variant>
      <vt:variant>
        <vt:lpstr>ช่วงที่มีชื่อ</vt:lpstr>
      </vt:variant>
      <vt:variant>
        <vt:i4>1</vt:i4>
      </vt:variant>
    </vt:vector>
  </HeadingPairs>
  <TitlesOfParts>
    <vt:vector size="9" baseType="lpstr">
      <vt:lpstr>ผ.01</vt:lpstr>
      <vt:lpstr>คก.รวม</vt:lpstr>
      <vt:lpstr>ม.1</vt:lpstr>
      <vt:lpstr>ม.2</vt:lpstr>
      <vt:lpstr>ม.4</vt:lpstr>
      <vt:lpstr>ม.5</vt:lpstr>
      <vt:lpstr>ม.6</vt:lpstr>
      <vt:lpstr>ทต.</vt:lpstr>
      <vt:lpstr>ผ.01!Print_Titles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sanklang sorpor</dc:creator>
  <cp:lastModifiedBy>นันท์ชญาน์ เห-รา</cp:lastModifiedBy>
  <cp:lastPrinted>2026-01-21T09:28:01Z</cp:lastPrinted>
  <dcterms:created xsi:type="dcterms:W3CDTF">2024-01-29T03:04:41Z</dcterms:created>
  <dcterms:modified xsi:type="dcterms:W3CDTF">2026-01-21T09:28:08Z</dcterms:modified>
</cp:coreProperties>
</file>